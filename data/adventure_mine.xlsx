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27" documentId="11_22929B9079AD8EF8208E6A1B326FA8FFE34C6004" xr6:coauthVersionLast="47" xr6:coauthVersionMax="47" xr10:uidLastSave="{837D47E5-9F50-1345-BA98-62B9E834FFD4}"/>
  <bookViews>
    <workbookView xWindow="0" yWindow="660" windowWidth="29400" windowHeight="16940" activeTab="1" xr2:uid="{00000000-000D-0000-FFFF-FFFF00000000}"/>
  </bookViews>
  <sheets>
    <sheet name="overlook" sheetId="1" r:id="rId1"/>
    <sheet name="psychrometer" sheetId="4" r:id="rId2"/>
    <sheet name="Events" sheetId="2" r:id="rId3"/>
    <sheet name="Detail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H2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2" i="4"/>
</calcChain>
</file>

<file path=xl/sharedStrings.xml><?xml version="1.0" encoding="utf-8"?>
<sst xmlns="http://schemas.openxmlformats.org/spreadsheetml/2006/main" count="116" uniqueCount="89">
  <si>
    <t>#</t>
  </si>
  <si>
    <t>Date-Time (EST/EDT)</t>
  </si>
  <si>
    <t>Adventure Temp , °C</t>
  </si>
  <si>
    <t>Adventure Light , lux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</si>
  <si>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</si>
  <si>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</si>
  <si>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</si>
  <si>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</si>
  <si>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</si>
  <si>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</si>
  <si>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</si>
  <si>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</si>
  <si>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</si>
  <si>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</si>
  <si>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</si>
  <si>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</si>
  <si>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</si>
  <si>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MX2202</t>
  </si>
  <si>
    <t>Serial Number</t>
  </si>
  <si>
    <t>21857759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</si>
  <si>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</si>
  <si>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</si>
  <si>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</si>
  <si>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</si>
  <si>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</si>
  <si>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</si>
  <si>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</si>
  <si>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2025/02/04 11:00:47 EST</t>
  </si>
  <si>
    <t>Deployment Info</t>
  </si>
  <si>
    <t>Name</t>
  </si>
  <si>
    <t>21857759 adventure</t>
  </si>
  <si>
    <t>Location</t>
  </si>
  <si>
    <t>Off</t>
  </si>
  <si>
    <t>Group Name</t>
  </si>
  <si>
    <t>Adventure</t>
  </si>
  <si>
    <t>Deployment Number</t>
  </si>
  <si>
    <t>3</t>
  </si>
  <si>
    <t>Never Stop (Overwrites Old Data) Enabled</t>
  </si>
  <si>
    <t>No</t>
  </si>
  <si>
    <t>Configure Date</t>
  </si>
  <si>
    <t>Logging Interval</t>
  </si>
  <si>
    <t>5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</si>
  <si>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</si>
  <si>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</si>
  <si>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</si>
  <si>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</si>
  <si>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</si>
  <si>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</si>
  <si>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</si>
  <si>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</si>
  <si>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</si>
  <si>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</si>
  <si>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</si>
  <si>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</si>
  <si>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</si>
  <si>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</si>
  <si>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</si>
  <si>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Adventure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</si>
  <si>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</si>
  <si>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</si>
  <si>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</si>
  <si>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</si>
  <si>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</si>
  <si>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</si>
  <si>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308</t>
  </si>
  <si>
    <t>Max</t>
  </si>
  <si>
    <t>9.09</t>
  </si>
  <si>
    <t>Min</t>
  </si>
  <si>
    <t>.13</t>
  </si>
  <si>
    <t>Avg</t>
  </si>
  <si>
    <t>3.90</t>
  </si>
  <si>
    <t>Std Dev</t>
  </si>
  <si>
    <t>1.15</t>
  </si>
  <si>
    <t>First Sample Time</t>
  </si>
  <si>
    <t>2025/02/04 11:00:48 EST</t>
  </si>
  <si>
    <t>Last Sample Time</t>
  </si>
  <si>
    <t>2025/04/09 11:00:48 EDT</t>
  </si>
  <si>
    <t>Series : Adventure Light , lux</t>
  </si>
  <si>
    <t>1.69</t>
  </si>
  <si>
    <t>.00</t>
  </si>
  <si>
    <t>.01</t>
  </si>
  <si>
    <t>.11</t>
  </si>
  <si>
    <t>wet_bulb</t>
  </si>
  <si>
    <t>dry_bulb</t>
  </si>
  <si>
    <t>mean humidity</t>
  </si>
  <si>
    <t>sd humidity</t>
  </si>
  <si>
    <t>mean C</t>
  </si>
  <si>
    <t>sd C</t>
  </si>
  <si>
    <t>all temps from all loggers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</si>
</sst>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/>
    <xf numFmtId="165" fontId="2" fillId="0" borderId="0"/>
    <xf numFmtId="165" fontId="2" fillId="0" borderId="0"/>
    <xf numFmtId="164" fontId="2" fillId="0" borderId="0"/>
    <xf numFmtId="164" fontId="2" fillId="0" borderId="0"/>
  </cellStyleXfs>
  <cellXfs count="11">
    <xf numFmtId="0" fontId="0" fillId="0" borderId="0" xfId="0"/>
    <xf numFmtId="164" fontId="2" fillId="0" borderId="0" xfId="1"/>
    <xf numFmtId="165" fontId="2" fillId="0" borderId="0" xfId="2"/>
    <xf numFmtId="165" fontId="2" fillId="0" borderId="0" xfId="3"/>
    <xf numFmtId="164" fontId="2" fillId="0" borderId="0" xfId="4"/>
    <xf numFmtId="0" fontId="0" fillId="0" borderId="0" xfId="0" applyAlignment="1">
      <alignment horizontal="left"/>
    </xf>
    <xf numFmtId="165" fontId="1" fillId="0" borderId="0" xfId="2" applyFont="1"/>
    <xf numFmtId="165" fontId="1" fillId="0" borderId="0" xfId="3" applyFont="1"/>
    <xf numFmtId="0" fontId="1" fillId="0" borderId="0" xfId="0" applyFont="1"/>
    <xf numFmtId="0" fontId="1" fillId="0" borderId="0" xfId="0" applyFont="1" applyAlignment="1">
      <alignment wrapText="1"/>
    </xf>
    <xf numFmtId="165" fontId="0" fillId="0" borderId="0" xfId="0" applyNumberFormat="1"/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6"/>
  <sheetViews>
    <sheetView workbookViewId="0">
      <selection activeCell="J6" sqref="J6"/>
    </sheetView>
  </sheetViews>
  <sheetFormatPr baseColWidth="10" defaultColWidth="8.83203125" defaultRowHeight="15" x14ac:dyDescent="0.2"/>
  <cols>
    <col min="1" max="1" width="3.33203125" bestFit="1" customWidth="1"/>
    <col min="2" max="2" width="18.5" style="1" bestFit="1" customWidth="1"/>
    <col min="3" max="3" width="18.1640625" style="2" bestFit="1" customWidth="1"/>
    <col min="4" max="4" width="18.1640625" style="3" bestFit="1" customWidth="1"/>
    <col min="6" max="6" width="12.6640625" customWidth="1"/>
  </cols>
  <sheetData>
    <row r="1" spans="1:8" ht="32" x14ac:dyDescent="0.2">
      <c r="A1" t="s">
        <v>0</v>
      </c>
      <c r="B1" s="1" t="s">
        <v>1</v>
      </c>
      <c r="C1" s="2" t="s">
        <v>2</v>
      </c>
      <c r="D1" s="3" t="s">
        <v>3</v>
      </c>
      <c r="F1" s="9" t="s">
        <v>88</v>
      </c>
      <c r="G1" s="8" t="s">
        <v>86</v>
      </c>
      <c r="H1" s="8" t="s">
        <v>87</v>
      </c>
    </row>
    <row r="2" spans="1:8" x14ac:dyDescent="0.2">
      <c r="A2">
        <v>1</v>
      </c>
      <c r="B2" s="1">
        <v>45692.45888888889</v>
      </c>
      <c r="C2" s="2">
        <v>8.0195996093749997</v>
      </c>
      <c r="D2" s="3">
        <v>1.69</v>
      </c>
      <c r="F2" s="2">
        <v>3.9440625000000011</v>
      </c>
      <c r="G2" s="10">
        <f>AVERAGE(F2:F616)</f>
        <v>3.9785397651486254</v>
      </c>
      <c r="H2">
        <f>_xlfn.STDEV.S(F2:F616)</f>
        <v>0.86639575920672673</v>
      </c>
    </row>
    <row r="3" spans="1:8" x14ac:dyDescent="0.2">
      <c r="A3">
        <v>2</v>
      </c>
      <c r="B3" s="1">
        <v>45692.667222222219</v>
      </c>
      <c r="C3" s="2">
        <v>3.9440625000000011</v>
      </c>
      <c r="D3" s="3">
        <v>0</v>
      </c>
      <c r="F3" s="2">
        <v>4.0727636718749949</v>
      </c>
    </row>
    <row r="4" spans="1:8" x14ac:dyDescent="0.2">
      <c r="A4">
        <v>3</v>
      </c>
      <c r="B4" s="1">
        <v>45692.875555555554</v>
      </c>
      <c r="C4" s="2">
        <v>4.0727636718749949</v>
      </c>
      <c r="D4" s="3">
        <v>0</v>
      </c>
      <c r="F4" s="2">
        <v>4.0298632812500017</v>
      </c>
    </row>
    <row r="5" spans="1:8" x14ac:dyDescent="0.2">
      <c r="A5">
        <v>4</v>
      </c>
      <c r="B5" s="1">
        <v>45693.08388888889</v>
      </c>
      <c r="C5" s="2">
        <v>4.0298632812500017</v>
      </c>
      <c r="D5" s="3">
        <v>0</v>
      </c>
      <c r="F5" s="2">
        <v>3.9869628906250014</v>
      </c>
    </row>
    <row r="6" spans="1:8" x14ac:dyDescent="0.2">
      <c r="A6">
        <v>5</v>
      </c>
      <c r="B6" s="1">
        <v>45693.292222222219</v>
      </c>
      <c r="C6" s="2">
        <v>3.9869628906250014</v>
      </c>
      <c r="D6" s="3">
        <v>0</v>
      </c>
      <c r="F6" s="2">
        <v>4.2014648437499957</v>
      </c>
    </row>
    <row r="7" spans="1:8" x14ac:dyDescent="0.2">
      <c r="A7">
        <v>6</v>
      </c>
      <c r="B7" s="1">
        <v>45693.500555555554</v>
      </c>
      <c r="C7" s="2">
        <v>4.2014648437499957</v>
      </c>
      <c r="D7" s="3">
        <v>0</v>
      </c>
      <c r="F7" s="2">
        <v>3.3005566406249969</v>
      </c>
    </row>
    <row r="8" spans="1:8" x14ac:dyDescent="0.2">
      <c r="A8">
        <v>7</v>
      </c>
      <c r="B8" s="1">
        <v>45693.70888888889</v>
      </c>
      <c r="C8" s="2">
        <v>3.3005566406249969</v>
      </c>
      <c r="D8" s="3">
        <v>0</v>
      </c>
      <c r="F8" s="2">
        <v>2.1851464843749966</v>
      </c>
    </row>
    <row r="9" spans="1:8" x14ac:dyDescent="0.2">
      <c r="A9">
        <v>8</v>
      </c>
      <c r="B9" s="1">
        <v>45693.917222222219</v>
      </c>
      <c r="C9" s="2">
        <v>2.1851464843749966</v>
      </c>
      <c r="D9" s="3">
        <v>0</v>
      </c>
      <c r="F9" s="2">
        <v>3.5579589843749986</v>
      </c>
    </row>
    <row r="10" spans="1:8" x14ac:dyDescent="0.2">
      <c r="A10">
        <v>9</v>
      </c>
      <c r="B10" s="1">
        <v>45694.125555555554</v>
      </c>
      <c r="C10" s="2">
        <v>3.5579589843749986</v>
      </c>
      <c r="D10" s="3">
        <v>0</v>
      </c>
      <c r="F10" s="2">
        <v>3.8153613281249998</v>
      </c>
    </row>
    <row r="11" spans="1:8" x14ac:dyDescent="0.2">
      <c r="A11">
        <v>10</v>
      </c>
      <c r="B11" s="1">
        <v>45694.33388888889</v>
      </c>
      <c r="C11" s="2">
        <v>3.8153613281249998</v>
      </c>
      <c r="D11" s="3">
        <v>0</v>
      </c>
      <c r="F11" s="2">
        <v>3.8582617187500006</v>
      </c>
    </row>
    <row r="12" spans="1:8" x14ac:dyDescent="0.2">
      <c r="A12">
        <v>11</v>
      </c>
      <c r="B12" s="1">
        <v>45694.542222222219</v>
      </c>
      <c r="C12" s="2">
        <v>3.8582617187500006</v>
      </c>
      <c r="D12" s="3">
        <v>0</v>
      </c>
      <c r="F12" s="2">
        <v>3.8153613281249998</v>
      </c>
    </row>
    <row r="13" spans="1:8" x14ac:dyDescent="0.2">
      <c r="A13">
        <v>12</v>
      </c>
      <c r="B13" s="1">
        <v>45694.750555555554</v>
      </c>
      <c r="C13" s="2">
        <v>3.8153613281249998</v>
      </c>
      <c r="D13" s="3">
        <v>0</v>
      </c>
      <c r="F13" s="2">
        <v>3.9011621093750009</v>
      </c>
    </row>
    <row r="14" spans="1:8" x14ac:dyDescent="0.2">
      <c r="A14">
        <v>13</v>
      </c>
      <c r="B14" s="1">
        <v>45694.95888888889</v>
      </c>
      <c r="C14" s="2">
        <v>3.9011621093750009</v>
      </c>
      <c r="D14" s="3">
        <v>0</v>
      </c>
      <c r="F14" s="2">
        <v>3.9011621093750009</v>
      </c>
    </row>
    <row r="15" spans="1:8" x14ac:dyDescent="0.2">
      <c r="A15">
        <v>14</v>
      </c>
      <c r="B15" s="1">
        <v>45695.167222222219</v>
      </c>
      <c r="C15" s="2">
        <v>3.9011621093750009</v>
      </c>
      <c r="D15" s="3">
        <v>0</v>
      </c>
      <c r="F15" s="2">
        <v>4.0298632812500017</v>
      </c>
    </row>
    <row r="16" spans="1:8" x14ac:dyDescent="0.2">
      <c r="A16">
        <v>15</v>
      </c>
      <c r="B16" s="1">
        <v>45695.375555555554</v>
      </c>
      <c r="C16" s="2">
        <v>4.0298632812500017</v>
      </c>
      <c r="D16" s="3">
        <v>0</v>
      </c>
      <c r="F16" s="2">
        <v>3.9440625000000011</v>
      </c>
    </row>
    <row r="17" spans="1:6" x14ac:dyDescent="0.2">
      <c r="A17">
        <v>16</v>
      </c>
      <c r="B17" s="1">
        <v>45695.58388888889</v>
      </c>
      <c r="C17" s="2">
        <v>3.9440625000000011</v>
      </c>
      <c r="D17" s="3">
        <v>0</v>
      </c>
      <c r="F17" s="2">
        <v>3.9440625000000011</v>
      </c>
    </row>
    <row r="18" spans="1:6" x14ac:dyDescent="0.2">
      <c r="A18">
        <v>17</v>
      </c>
      <c r="B18" s="1">
        <v>45695.792222222219</v>
      </c>
      <c r="C18" s="2">
        <v>3.9440625000000011</v>
      </c>
      <c r="D18" s="3">
        <v>0</v>
      </c>
      <c r="F18" s="2">
        <v>4.2014648437499957</v>
      </c>
    </row>
    <row r="19" spans="1:6" x14ac:dyDescent="0.2">
      <c r="A19">
        <v>18</v>
      </c>
      <c r="B19" s="1">
        <v>45696.000555555554</v>
      </c>
      <c r="C19" s="2">
        <v>4.2014648437499957</v>
      </c>
      <c r="D19" s="3">
        <v>0</v>
      </c>
      <c r="F19" s="2">
        <v>4.2014648437499957</v>
      </c>
    </row>
    <row r="20" spans="1:6" x14ac:dyDescent="0.2">
      <c r="A20">
        <v>19</v>
      </c>
      <c r="B20" s="1">
        <v>45696.20888888889</v>
      </c>
      <c r="C20" s="2">
        <v>4.2014648437499957</v>
      </c>
      <c r="D20" s="3">
        <v>0</v>
      </c>
      <c r="F20" s="2">
        <v>4.2014648437499957</v>
      </c>
    </row>
    <row r="21" spans="1:6" x14ac:dyDescent="0.2">
      <c r="A21">
        <v>20</v>
      </c>
      <c r="B21" s="1">
        <v>45696.417222222219</v>
      </c>
      <c r="C21" s="2">
        <v>4.2014648437499957</v>
      </c>
      <c r="D21" s="3">
        <v>0</v>
      </c>
      <c r="F21" s="2">
        <v>3.9869628906250014</v>
      </c>
    </row>
    <row r="22" spans="1:6" x14ac:dyDescent="0.2">
      <c r="A22">
        <v>21</v>
      </c>
      <c r="B22" s="1">
        <v>45696.625555555554</v>
      </c>
      <c r="C22" s="2">
        <v>3.9869628906250014</v>
      </c>
      <c r="D22" s="3">
        <v>0</v>
      </c>
      <c r="F22" s="2">
        <v>3.9869628906250014</v>
      </c>
    </row>
    <row r="23" spans="1:6" x14ac:dyDescent="0.2">
      <c r="A23">
        <v>22</v>
      </c>
      <c r="B23" s="1">
        <v>45696.83388888889</v>
      </c>
      <c r="C23" s="2">
        <v>3.9869628906250014</v>
      </c>
      <c r="D23" s="3">
        <v>0</v>
      </c>
      <c r="F23" s="2">
        <v>3.9011621093750009</v>
      </c>
    </row>
    <row r="24" spans="1:6" x14ac:dyDescent="0.2">
      <c r="A24">
        <v>23</v>
      </c>
      <c r="B24" s="1">
        <v>45697.042222222219</v>
      </c>
      <c r="C24" s="2">
        <v>3.9011621093750009</v>
      </c>
      <c r="D24" s="3">
        <v>0</v>
      </c>
      <c r="F24" s="2">
        <v>3.9440625000000011</v>
      </c>
    </row>
    <row r="25" spans="1:6" x14ac:dyDescent="0.2">
      <c r="A25">
        <v>24</v>
      </c>
      <c r="B25" s="1">
        <v>45697.250555555554</v>
      </c>
      <c r="C25" s="2">
        <v>3.9440625000000011</v>
      </c>
      <c r="D25" s="3">
        <v>0</v>
      </c>
      <c r="F25" s="2">
        <v>3.8582617187500006</v>
      </c>
    </row>
    <row r="26" spans="1:6" x14ac:dyDescent="0.2">
      <c r="A26">
        <v>25</v>
      </c>
      <c r="B26" s="1">
        <v>45697.45888888889</v>
      </c>
      <c r="C26" s="2">
        <v>3.8582617187500006</v>
      </c>
      <c r="D26" s="3">
        <v>0</v>
      </c>
      <c r="F26" s="2">
        <v>4.0298632812500017</v>
      </c>
    </row>
    <row r="27" spans="1:6" x14ac:dyDescent="0.2">
      <c r="A27">
        <v>26</v>
      </c>
      <c r="B27" s="1">
        <v>45697.667222222219</v>
      </c>
      <c r="C27" s="2">
        <v>4.0298632812500017</v>
      </c>
      <c r="D27" s="3">
        <v>0</v>
      </c>
      <c r="F27" s="2">
        <v>4.0727636718749949</v>
      </c>
    </row>
    <row r="28" spans="1:6" x14ac:dyDescent="0.2">
      <c r="A28">
        <v>27</v>
      </c>
      <c r="B28" s="1">
        <v>45697.875555555554</v>
      </c>
      <c r="C28" s="2">
        <v>4.0727636718749949</v>
      </c>
      <c r="D28" s="3">
        <v>0</v>
      </c>
      <c r="F28" s="2">
        <v>4.2014648437499957</v>
      </c>
    </row>
    <row r="29" spans="1:6" x14ac:dyDescent="0.2">
      <c r="A29">
        <v>28</v>
      </c>
      <c r="B29" s="1">
        <v>45698.08388888889</v>
      </c>
      <c r="C29" s="2">
        <v>4.2014648437499957</v>
      </c>
      <c r="D29" s="3">
        <v>0</v>
      </c>
      <c r="F29" s="2">
        <v>4.1585644531249955</v>
      </c>
    </row>
    <row r="30" spans="1:6" x14ac:dyDescent="0.2">
      <c r="A30">
        <v>29</v>
      </c>
      <c r="B30" s="1">
        <v>45698.292222222219</v>
      </c>
      <c r="C30" s="2">
        <v>4.1585644531249955</v>
      </c>
      <c r="D30" s="3">
        <v>0</v>
      </c>
      <c r="F30" s="2">
        <v>4.1585644531249955</v>
      </c>
    </row>
    <row r="31" spans="1:6" x14ac:dyDescent="0.2">
      <c r="A31">
        <v>30</v>
      </c>
      <c r="B31" s="1">
        <v>45698.500555555554</v>
      </c>
      <c r="C31" s="2">
        <v>4.1585644531249955</v>
      </c>
      <c r="D31" s="3">
        <v>0</v>
      </c>
      <c r="F31" s="2">
        <v>3.9011621093750009</v>
      </c>
    </row>
    <row r="32" spans="1:6" x14ac:dyDescent="0.2">
      <c r="A32">
        <v>31</v>
      </c>
      <c r="B32" s="1">
        <v>45698.70888888889</v>
      </c>
      <c r="C32" s="2">
        <v>3.9011621093750009</v>
      </c>
      <c r="D32" s="3">
        <v>0</v>
      </c>
      <c r="F32" s="2">
        <v>4.0727636718749949</v>
      </c>
    </row>
    <row r="33" spans="1:6" x14ac:dyDescent="0.2">
      <c r="A33">
        <v>32</v>
      </c>
      <c r="B33" s="1">
        <v>45698.917222222219</v>
      </c>
      <c r="C33" s="2">
        <v>4.0727636718749949</v>
      </c>
      <c r="D33" s="3">
        <v>0</v>
      </c>
      <c r="F33" s="2">
        <v>3.9011621093750009</v>
      </c>
    </row>
    <row r="34" spans="1:6" x14ac:dyDescent="0.2">
      <c r="A34">
        <v>33</v>
      </c>
      <c r="B34" s="1">
        <v>45699.125555555554</v>
      </c>
      <c r="C34" s="2">
        <v>3.9011621093750009</v>
      </c>
      <c r="D34" s="3">
        <v>0</v>
      </c>
      <c r="F34" s="2">
        <v>3.9440625000000011</v>
      </c>
    </row>
    <row r="35" spans="1:6" x14ac:dyDescent="0.2">
      <c r="A35">
        <v>34</v>
      </c>
      <c r="B35" s="1">
        <v>45699.33388888889</v>
      </c>
      <c r="C35" s="2">
        <v>3.9440625000000011</v>
      </c>
      <c r="D35" s="3">
        <v>0</v>
      </c>
      <c r="F35" s="2">
        <v>3.8153613281249998</v>
      </c>
    </row>
    <row r="36" spans="1:6" x14ac:dyDescent="0.2">
      <c r="A36">
        <v>35</v>
      </c>
      <c r="B36" s="1">
        <v>45699.542222222219</v>
      </c>
      <c r="C36" s="2">
        <v>3.8153613281249998</v>
      </c>
      <c r="D36" s="3">
        <v>0</v>
      </c>
      <c r="F36" s="2">
        <v>3.7724609375</v>
      </c>
    </row>
    <row r="37" spans="1:6" x14ac:dyDescent="0.2">
      <c r="A37">
        <v>36</v>
      </c>
      <c r="B37" s="1">
        <v>45699.750555555554</v>
      </c>
      <c r="C37" s="2">
        <v>3.7724609375</v>
      </c>
      <c r="D37" s="3">
        <v>0</v>
      </c>
      <c r="F37" s="2">
        <v>3.7724609375</v>
      </c>
    </row>
    <row r="38" spans="1:6" x14ac:dyDescent="0.2">
      <c r="A38">
        <v>37</v>
      </c>
      <c r="B38" s="1">
        <v>45699.95888888889</v>
      </c>
      <c r="C38" s="2">
        <v>3.7724609375</v>
      </c>
      <c r="D38" s="3">
        <v>0</v>
      </c>
      <c r="F38" s="2">
        <v>3.8582617187500006</v>
      </c>
    </row>
    <row r="39" spans="1:6" x14ac:dyDescent="0.2">
      <c r="A39">
        <v>38</v>
      </c>
      <c r="B39" s="1">
        <v>45700.167222222219</v>
      </c>
      <c r="C39" s="2">
        <v>3.8582617187500006</v>
      </c>
      <c r="D39" s="3">
        <v>0</v>
      </c>
      <c r="F39" s="2">
        <v>3.7724609375</v>
      </c>
    </row>
    <row r="40" spans="1:6" x14ac:dyDescent="0.2">
      <c r="A40">
        <v>39</v>
      </c>
      <c r="B40" s="1">
        <v>45700.375555555554</v>
      </c>
      <c r="C40" s="2">
        <v>3.7724609375</v>
      </c>
      <c r="D40" s="3">
        <v>0</v>
      </c>
      <c r="F40" s="2">
        <v>3.8582617187500006</v>
      </c>
    </row>
    <row r="41" spans="1:6" x14ac:dyDescent="0.2">
      <c r="A41">
        <v>40</v>
      </c>
      <c r="B41" s="1">
        <v>45700.58388888889</v>
      </c>
      <c r="C41" s="2">
        <v>3.8582617187500006</v>
      </c>
      <c r="D41" s="3">
        <v>0</v>
      </c>
      <c r="F41" s="2">
        <v>3.8582617187500006</v>
      </c>
    </row>
    <row r="42" spans="1:6" x14ac:dyDescent="0.2">
      <c r="A42">
        <v>41</v>
      </c>
      <c r="B42" s="1">
        <v>45700.792222222219</v>
      </c>
      <c r="C42" s="2">
        <v>3.8582617187500006</v>
      </c>
      <c r="D42" s="3">
        <v>0</v>
      </c>
      <c r="F42" s="2">
        <v>3.8582617187500006</v>
      </c>
    </row>
    <row r="43" spans="1:6" x14ac:dyDescent="0.2">
      <c r="A43">
        <v>42</v>
      </c>
      <c r="B43" s="1">
        <v>45701.000555555554</v>
      </c>
      <c r="C43" s="2">
        <v>3.8582617187500006</v>
      </c>
      <c r="D43" s="3">
        <v>0</v>
      </c>
      <c r="F43" s="2">
        <v>3.8153613281249998</v>
      </c>
    </row>
    <row r="44" spans="1:6" x14ac:dyDescent="0.2">
      <c r="A44">
        <v>43</v>
      </c>
      <c r="B44" s="1">
        <v>45701.20888888889</v>
      </c>
      <c r="C44" s="2">
        <v>3.8153613281249998</v>
      </c>
      <c r="D44" s="3">
        <v>0</v>
      </c>
      <c r="F44" s="2">
        <v>3.7724609375</v>
      </c>
    </row>
    <row r="45" spans="1:6" x14ac:dyDescent="0.2">
      <c r="A45">
        <v>44</v>
      </c>
      <c r="B45" s="1">
        <v>45701.417222222219</v>
      </c>
      <c r="C45" s="2">
        <v>3.7724609375</v>
      </c>
      <c r="D45" s="3">
        <v>0</v>
      </c>
      <c r="F45" s="2">
        <v>3.6866601562499994</v>
      </c>
    </row>
    <row r="46" spans="1:6" x14ac:dyDescent="0.2">
      <c r="A46">
        <v>45</v>
      </c>
      <c r="B46" s="1">
        <v>45701.625555555554</v>
      </c>
      <c r="C46" s="2">
        <v>3.6866601562499994</v>
      </c>
      <c r="D46" s="3">
        <v>0</v>
      </c>
      <c r="F46" s="2">
        <v>3.8153613281249998</v>
      </c>
    </row>
    <row r="47" spans="1:6" x14ac:dyDescent="0.2">
      <c r="A47">
        <v>46</v>
      </c>
      <c r="B47" s="1">
        <v>45701.83388888889</v>
      </c>
      <c r="C47" s="2">
        <v>3.8153613281249998</v>
      </c>
      <c r="D47" s="3">
        <v>0</v>
      </c>
      <c r="F47" s="2">
        <v>3.9440625000000011</v>
      </c>
    </row>
    <row r="48" spans="1:6" x14ac:dyDescent="0.2">
      <c r="A48">
        <v>47</v>
      </c>
      <c r="B48" s="1">
        <v>45702.042222222219</v>
      </c>
      <c r="C48" s="2">
        <v>3.9440625000000011</v>
      </c>
      <c r="D48" s="3">
        <v>0</v>
      </c>
      <c r="F48" s="2">
        <v>4.0298632812500017</v>
      </c>
    </row>
    <row r="49" spans="1:6" x14ac:dyDescent="0.2">
      <c r="A49">
        <v>48</v>
      </c>
      <c r="B49" s="1">
        <v>45702.250555555554</v>
      </c>
      <c r="C49" s="2">
        <v>4.0298632812500017</v>
      </c>
      <c r="D49" s="3">
        <v>0</v>
      </c>
      <c r="F49" s="2">
        <v>4.0298632812500017</v>
      </c>
    </row>
    <row r="50" spans="1:6" x14ac:dyDescent="0.2">
      <c r="A50">
        <v>49</v>
      </c>
      <c r="B50" s="1">
        <v>45702.45888888889</v>
      </c>
      <c r="C50" s="2">
        <v>4.0298632812500017</v>
      </c>
      <c r="D50" s="3">
        <v>0</v>
      </c>
      <c r="F50" s="2">
        <v>4.1585644531249955</v>
      </c>
    </row>
    <row r="51" spans="1:6" x14ac:dyDescent="0.2">
      <c r="A51">
        <v>50</v>
      </c>
      <c r="B51" s="1">
        <v>45702.667222222219</v>
      </c>
      <c r="C51" s="2">
        <v>4.1585644531249955</v>
      </c>
      <c r="D51" s="3">
        <v>0</v>
      </c>
      <c r="F51" s="2">
        <v>4.1585644531249955</v>
      </c>
    </row>
    <row r="52" spans="1:6" x14ac:dyDescent="0.2">
      <c r="A52">
        <v>51</v>
      </c>
      <c r="B52" s="1">
        <v>45702.875555555554</v>
      </c>
      <c r="C52" s="2">
        <v>4.1585644531249955</v>
      </c>
      <c r="D52" s="3">
        <v>0</v>
      </c>
      <c r="F52" s="2">
        <v>4.1156640624999952</v>
      </c>
    </row>
    <row r="53" spans="1:6" x14ac:dyDescent="0.2">
      <c r="A53">
        <v>52</v>
      </c>
      <c r="B53" s="1">
        <v>45703.08388888889</v>
      </c>
      <c r="C53" s="2">
        <v>4.1156640624999952</v>
      </c>
      <c r="D53" s="3">
        <v>0</v>
      </c>
      <c r="F53" s="2">
        <v>4.2014648437499957</v>
      </c>
    </row>
    <row r="54" spans="1:6" x14ac:dyDescent="0.2">
      <c r="A54">
        <v>53</v>
      </c>
      <c r="B54" s="1">
        <v>45703.292222222219</v>
      </c>
      <c r="C54" s="2">
        <v>4.2014648437499957</v>
      </c>
      <c r="D54" s="3">
        <v>0</v>
      </c>
      <c r="F54" s="2">
        <v>4.1156640624999952</v>
      </c>
    </row>
    <row r="55" spans="1:6" x14ac:dyDescent="0.2">
      <c r="A55">
        <v>54</v>
      </c>
      <c r="B55" s="1">
        <v>45703.500555555554</v>
      </c>
      <c r="C55" s="2">
        <v>4.1156640624999952</v>
      </c>
      <c r="D55" s="3">
        <v>0</v>
      </c>
      <c r="F55" s="2">
        <v>3.8153613281249998</v>
      </c>
    </row>
    <row r="56" spans="1:6" x14ac:dyDescent="0.2">
      <c r="A56">
        <v>55</v>
      </c>
      <c r="B56" s="1">
        <v>45703.70888888889</v>
      </c>
      <c r="C56" s="2">
        <v>3.8153613281249998</v>
      </c>
      <c r="D56" s="3">
        <v>0</v>
      </c>
      <c r="F56" s="2">
        <v>3.9011621093750009</v>
      </c>
    </row>
    <row r="57" spans="1:6" x14ac:dyDescent="0.2">
      <c r="A57">
        <v>56</v>
      </c>
      <c r="B57" s="1">
        <v>45703.917222222219</v>
      </c>
      <c r="C57" s="2">
        <v>3.9011621093750009</v>
      </c>
      <c r="D57" s="3">
        <v>0</v>
      </c>
      <c r="F57" s="2">
        <v>3.9011621093750009</v>
      </c>
    </row>
    <row r="58" spans="1:6" x14ac:dyDescent="0.2">
      <c r="A58">
        <v>57</v>
      </c>
      <c r="B58" s="1">
        <v>45704.125555555554</v>
      </c>
      <c r="C58" s="2">
        <v>3.9011621093750009</v>
      </c>
      <c r="D58" s="3">
        <v>0</v>
      </c>
      <c r="F58" s="2">
        <v>3.6008593749999989</v>
      </c>
    </row>
    <row r="59" spans="1:6" x14ac:dyDescent="0.2">
      <c r="A59">
        <v>58</v>
      </c>
      <c r="B59" s="1">
        <v>45704.33388888889</v>
      </c>
      <c r="C59" s="2">
        <v>3.6008593749999989</v>
      </c>
      <c r="D59" s="3">
        <v>0</v>
      </c>
      <c r="F59" s="2">
        <v>3.6008593749999989</v>
      </c>
    </row>
    <row r="60" spans="1:6" x14ac:dyDescent="0.2">
      <c r="A60">
        <v>59</v>
      </c>
      <c r="B60" s="1">
        <v>45704.542222222219</v>
      </c>
      <c r="C60" s="2">
        <v>3.6008593749999989</v>
      </c>
      <c r="D60" s="3">
        <v>0</v>
      </c>
      <c r="F60" s="2">
        <v>3.6008593749999989</v>
      </c>
    </row>
    <row r="61" spans="1:6" x14ac:dyDescent="0.2">
      <c r="A61">
        <v>60</v>
      </c>
      <c r="B61" s="1">
        <v>45704.750555555554</v>
      </c>
      <c r="C61" s="2">
        <v>3.6008593749999989</v>
      </c>
      <c r="D61" s="3">
        <v>0</v>
      </c>
      <c r="F61" s="2">
        <v>3.6437597656249991</v>
      </c>
    </row>
    <row r="62" spans="1:6" x14ac:dyDescent="0.2">
      <c r="A62">
        <v>61</v>
      </c>
      <c r="B62" s="1">
        <v>45704.95888888889</v>
      </c>
      <c r="C62" s="2">
        <v>3.6437597656249991</v>
      </c>
      <c r="D62" s="3">
        <v>0</v>
      </c>
      <c r="F62" s="2">
        <v>3.5579589843749986</v>
      </c>
    </row>
    <row r="63" spans="1:6" x14ac:dyDescent="0.2">
      <c r="A63">
        <v>62</v>
      </c>
      <c r="B63" s="1">
        <v>45705.167222222219</v>
      </c>
      <c r="C63" s="2">
        <v>3.5579589843749986</v>
      </c>
      <c r="D63" s="3">
        <v>0</v>
      </c>
      <c r="F63" s="2">
        <v>3.472158203124998</v>
      </c>
    </row>
    <row r="64" spans="1:6" x14ac:dyDescent="0.2">
      <c r="A64">
        <v>63</v>
      </c>
      <c r="B64" s="1">
        <v>45705.375555555554</v>
      </c>
      <c r="C64" s="2">
        <v>3.472158203124998</v>
      </c>
      <c r="D64" s="3">
        <v>0</v>
      </c>
      <c r="F64" s="2">
        <v>3.4292578124999977</v>
      </c>
    </row>
    <row r="65" spans="1:6" x14ac:dyDescent="0.2">
      <c r="A65">
        <v>64</v>
      </c>
      <c r="B65" s="1">
        <v>45705.58388888889</v>
      </c>
      <c r="C65" s="2">
        <v>3.4292578124999977</v>
      </c>
      <c r="D65" s="3">
        <v>0</v>
      </c>
      <c r="F65" s="2">
        <v>3.5579589843749986</v>
      </c>
    </row>
    <row r="66" spans="1:6" x14ac:dyDescent="0.2">
      <c r="A66">
        <v>65</v>
      </c>
      <c r="B66" s="1">
        <v>45705.792222222219</v>
      </c>
      <c r="C66" s="2">
        <v>3.5579589843749986</v>
      </c>
      <c r="D66" s="3">
        <v>0</v>
      </c>
      <c r="F66" s="2">
        <v>3.472158203124998</v>
      </c>
    </row>
    <row r="67" spans="1:6" x14ac:dyDescent="0.2">
      <c r="A67">
        <v>66</v>
      </c>
      <c r="B67" s="1">
        <v>45706.000555555554</v>
      </c>
      <c r="C67" s="2">
        <v>3.472158203124998</v>
      </c>
      <c r="D67" s="3">
        <v>0</v>
      </c>
      <c r="F67" s="2">
        <v>3.3863574218749974</v>
      </c>
    </row>
    <row r="68" spans="1:6" x14ac:dyDescent="0.2">
      <c r="A68">
        <v>67</v>
      </c>
      <c r="B68" s="1">
        <v>45706.20888888889</v>
      </c>
      <c r="C68" s="2">
        <v>3.3863574218749974</v>
      </c>
      <c r="D68" s="3">
        <v>0</v>
      </c>
      <c r="F68" s="2">
        <v>3.3863574218749974</v>
      </c>
    </row>
    <row r="69" spans="1:6" x14ac:dyDescent="0.2">
      <c r="A69">
        <v>68</v>
      </c>
      <c r="B69" s="1">
        <v>45706.417222222219</v>
      </c>
      <c r="C69" s="2">
        <v>3.3863574218749974</v>
      </c>
      <c r="D69" s="3">
        <v>0</v>
      </c>
      <c r="F69" s="2">
        <v>3.3863574218749974</v>
      </c>
    </row>
    <row r="70" spans="1:6" x14ac:dyDescent="0.2">
      <c r="A70">
        <v>69</v>
      </c>
      <c r="B70" s="1">
        <v>45706.625555555554</v>
      </c>
      <c r="C70" s="2">
        <v>3.3863574218749974</v>
      </c>
      <c r="D70" s="3">
        <v>0</v>
      </c>
      <c r="F70" s="2">
        <v>3.472158203124998</v>
      </c>
    </row>
    <row r="71" spans="1:6" x14ac:dyDescent="0.2">
      <c r="A71">
        <v>70</v>
      </c>
      <c r="B71" s="1">
        <v>45706.83388888889</v>
      </c>
      <c r="C71" s="2">
        <v>3.472158203124998</v>
      </c>
      <c r="D71" s="3">
        <v>0</v>
      </c>
      <c r="F71" s="2">
        <v>3.4292578124999977</v>
      </c>
    </row>
    <row r="72" spans="1:6" x14ac:dyDescent="0.2">
      <c r="A72">
        <v>71</v>
      </c>
      <c r="B72" s="1">
        <v>45707.042222222219</v>
      </c>
      <c r="C72" s="2">
        <v>3.4292578124999977</v>
      </c>
      <c r="D72" s="3">
        <v>0.21</v>
      </c>
      <c r="F72" s="2">
        <v>3.4292578124999977</v>
      </c>
    </row>
    <row r="73" spans="1:6" x14ac:dyDescent="0.2">
      <c r="A73">
        <v>72</v>
      </c>
      <c r="B73" s="1">
        <v>45707.250555555554</v>
      </c>
      <c r="C73" s="2">
        <v>3.4292578124999977</v>
      </c>
      <c r="D73" s="3">
        <v>0</v>
      </c>
      <c r="F73" s="2">
        <v>3.472158203124998</v>
      </c>
    </row>
    <row r="74" spans="1:6" x14ac:dyDescent="0.2">
      <c r="A74">
        <v>73</v>
      </c>
      <c r="B74" s="1">
        <v>45707.45888888889</v>
      </c>
      <c r="C74" s="2">
        <v>3.472158203124998</v>
      </c>
      <c r="D74" s="3">
        <v>0</v>
      </c>
      <c r="F74" s="2">
        <v>3.472158203124998</v>
      </c>
    </row>
    <row r="75" spans="1:6" x14ac:dyDescent="0.2">
      <c r="A75">
        <v>74</v>
      </c>
      <c r="B75" s="1">
        <v>45707.667222222219</v>
      </c>
      <c r="C75" s="2">
        <v>3.472158203124998</v>
      </c>
      <c r="D75" s="3">
        <v>0</v>
      </c>
      <c r="F75" s="2">
        <v>3.5150585937499983</v>
      </c>
    </row>
    <row r="76" spans="1:6" x14ac:dyDescent="0.2">
      <c r="A76">
        <v>75</v>
      </c>
      <c r="B76" s="1">
        <v>45707.875555555554</v>
      </c>
      <c r="C76" s="2">
        <v>3.5150585937499983</v>
      </c>
      <c r="D76" s="3">
        <v>0</v>
      </c>
      <c r="F76" s="2">
        <v>3.5150585937499983</v>
      </c>
    </row>
    <row r="77" spans="1:6" x14ac:dyDescent="0.2">
      <c r="A77">
        <v>76</v>
      </c>
      <c r="B77" s="1">
        <v>45708.08388888889</v>
      </c>
      <c r="C77" s="2">
        <v>3.5150585937499983</v>
      </c>
      <c r="D77" s="3">
        <v>0</v>
      </c>
      <c r="F77" s="2">
        <v>3.4292578124999977</v>
      </c>
    </row>
    <row r="78" spans="1:6" x14ac:dyDescent="0.2">
      <c r="A78">
        <v>77</v>
      </c>
      <c r="B78" s="1">
        <v>45708.292222222219</v>
      </c>
      <c r="C78" s="2">
        <v>3.4292578124999977</v>
      </c>
      <c r="D78" s="3">
        <v>0</v>
      </c>
      <c r="F78" s="2">
        <v>3.4292578124999977</v>
      </c>
    </row>
    <row r="79" spans="1:6" x14ac:dyDescent="0.2">
      <c r="A79">
        <v>78</v>
      </c>
      <c r="B79" s="1">
        <v>45708.500555555554</v>
      </c>
      <c r="C79" s="2">
        <v>3.4292578124999977</v>
      </c>
      <c r="D79" s="3">
        <v>0</v>
      </c>
      <c r="F79" s="2">
        <v>3.5150585937499983</v>
      </c>
    </row>
    <row r="80" spans="1:6" x14ac:dyDescent="0.2">
      <c r="A80">
        <v>79</v>
      </c>
      <c r="B80" s="1">
        <v>45708.70888888889</v>
      </c>
      <c r="C80" s="2">
        <v>3.5150585937499983</v>
      </c>
      <c r="D80" s="3">
        <v>0</v>
      </c>
      <c r="F80" s="2">
        <v>3.6866601562499994</v>
      </c>
    </row>
    <row r="81" spans="1:6" x14ac:dyDescent="0.2">
      <c r="A81">
        <v>80</v>
      </c>
      <c r="B81" s="1">
        <v>45708.917222222219</v>
      </c>
      <c r="C81" s="2">
        <v>3.6866601562499994</v>
      </c>
      <c r="D81" s="3">
        <v>0</v>
      </c>
      <c r="F81" s="2">
        <v>3.6866601562499994</v>
      </c>
    </row>
    <row r="82" spans="1:6" x14ac:dyDescent="0.2">
      <c r="A82">
        <v>81</v>
      </c>
      <c r="B82" s="1">
        <v>45709.125555555554</v>
      </c>
      <c r="C82" s="2">
        <v>3.6866601562499994</v>
      </c>
      <c r="D82" s="3">
        <v>0</v>
      </c>
      <c r="F82" s="2">
        <v>3.8153613281249998</v>
      </c>
    </row>
    <row r="83" spans="1:6" x14ac:dyDescent="0.2">
      <c r="A83">
        <v>82</v>
      </c>
      <c r="B83" s="1">
        <v>45709.33388888889</v>
      </c>
      <c r="C83" s="2">
        <v>3.8153613281249998</v>
      </c>
      <c r="D83" s="3">
        <v>0</v>
      </c>
      <c r="F83" s="2">
        <v>3.9011621093750009</v>
      </c>
    </row>
    <row r="84" spans="1:6" x14ac:dyDescent="0.2">
      <c r="A84">
        <v>83</v>
      </c>
      <c r="B84" s="1">
        <v>45709.542222222219</v>
      </c>
      <c r="C84" s="2">
        <v>3.9011621093750009</v>
      </c>
      <c r="D84" s="3">
        <v>0</v>
      </c>
      <c r="F84" s="2">
        <v>3.9440625000000011</v>
      </c>
    </row>
    <row r="85" spans="1:6" x14ac:dyDescent="0.2">
      <c r="A85">
        <v>84</v>
      </c>
      <c r="B85" s="1">
        <v>45709.750555555554</v>
      </c>
      <c r="C85" s="2">
        <v>3.9440625000000011</v>
      </c>
      <c r="D85" s="3">
        <v>0.21</v>
      </c>
      <c r="F85" s="2">
        <v>3.9869628906250014</v>
      </c>
    </row>
    <row r="86" spans="1:6" x14ac:dyDescent="0.2">
      <c r="A86">
        <v>85</v>
      </c>
      <c r="B86" s="1">
        <v>45709.95888888889</v>
      </c>
      <c r="C86" s="2">
        <v>3.9869628906250014</v>
      </c>
      <c r="D86" s="3">
        <v>0</v>
      </c>
      <c r="F86" s="2">
        <v>4.0298632812500017</v>
      </c>
    </row>
    <row r="87" spans="1:6" x14ac:dyDescent="0.2">
      <c r="A87">
        <v>86</v>
      </c>
      <c r="B87" s="1">
        <v>45710.167222222219</v>
      </c>
      <c r="C87" s="2">
        <v>4.0298632812500017</v>
      </c>
      <c r="D87" s="3">
        <v>0</v>
      </c>
      <c r="F87" s="2">
        <v>3.9869628906250014</v>
      </c>
    </row>
    <row r="88" spans="1:6" x14ac:dyDescent="0.2">
      <c r="A88">
        <v>87</v>
      </c>
      <c r="B88" s="1">
        <v>45710.375555555554</v>
      </c>
      <c r="C88" s="2">
        <v>3.9869628906250014</v>
      </c>
      <c r="D88" s="3">
        <v>0</v>
      </c>
      <c r="F88" s="2">
        <v>4.0727636718749949</v>
      </c>
    </row>
    <row r="89" spans="1:6" x14ac:dyDescent="0.2">
      <c r="A89">
        <v>88</v>
      </c>
      <c r="B89" s="1">
        <v>45710.58388888889</v>
      </c>
      <c r="C89" s="2">
        <v>4.0727636718749949</v>
      </c>
      <c r="D89" s="3">
        <v>0</v>
      </c>
      <c r="F89" s="2">
        <v>4.1585644531249955</v>
      </c>
    </row>
    <row r="90" spans="1:6" x14ac:dyDescent="0.2">
      <c r="A90">
        <v>89</v>
      </c>
      <c r="B90" s="1">
        <v>45710.792222222219</v>
      </c>
      <c r="C90" s="2">
        <v>4.1585644531249955</v>
      </c>
      <c r="D90" s="3">
        <v>0</v>
      </c>
      <c r="F90" s="2">
        <v>3.9869628906250014</v>
      </c>
    </row>
    <row r="91" spans="1:6" x14ac:dyDescent="0.2">
      <c r="A91">
        <v>90</v>
      </c>
      <c r="B91" s="1">
        <v>45711.000555555554</v>
      </c>
      <c r="C91" s="2">
        <v>3.9869628906250014</v>
      </c>
      <c r="D91" s="3">
        <v>0</v>
      </c>
      <c r="F91" s="2">
        <v>4.244365234374996</v>
      </c>
    </row>
    <row r="92" spans="1:6" x14ac:dyDescent="0.2">
      <c r="A92">
        <v>91</v>
      </c>
      <c r="B92" s="1">
        <v>45711.20888888889</v>
      </c>
      <c r="C92" s="2">
        <v>4.244365234374996</v>
      </c>
      <c r="D92" s="3">
        <v>0</v>
      </c>
      <c r="F92" s="2">
        <v>3.171855468749996</v>
      </c>
    </row>
    <row r="93" spans="1:6" x14ac:dyDescent="0.2">
      <c r="A93">
        <v>92</v>
      </c>
      <c r="B93" s="1">
        <v>45711.417222222219</v>
      </c>
      <c r="C93" s="2">
        <v>3.171855468749996</v>
      </c>
      <c r="D93" s="3">
        <v>0</v>
      </c>
      <c r="F93" s="2">
        <v>3.7724609375</v>
      </c>
    </row>
    <row r="94" spans="1:6" x14ac:dyDescent="0.2">
      <c r="A94">
        <v>93</v>
      </c>
      <c r="B94" s="1">
        <v>45711.625555555554</v>
      </c>
      <c r="C94" s="2">
        <v>3.7724609375</v>
      </c>
      <c r="D94" s="3">
        <v>0</v>
      </c>
      <c r="F94" s="2">
        <v>3.9011621093750009</v>
      </c>
    </row>
    <row r="95" spans="1:6" x14ac:dyDescent="0.2">
      <c r="A95">
        <v>94</v>
      </c>
      <c r="B95" s="1">
        <v>45711.83388888889</v>
      </c>
      <c r="C95" s="2">
        <v>3.9011621093750009</v>
      </c>
      <c r="D95" s="3">
        <v>0</v>
      </c>
      <c r="F95" s="2">
        <v>4.0727636718749949</v>
      </c>
    </row>
    <row r="96" spans="1:6" x14ac:dyDescent="0.2">
      <c r="A96">
        <v>95</v>
      </c>
      <c r="B96" s="1">
        <v>45712.042222222219</v>
      </c>
      <c r="C96" s="2">
        <v>4.0727636718749949</v>
      </c>
      <c r="D96" s="3">
        <v>0</v>
      </c>
      <c r="F96" s="2">
        <v>4.244365234374996</v>
      </c>
    </row>
    <row r="97" spans="1:6" x14ac:dyDescent="0.2">
      <c r="A97">
        <v>96</v>
      </c>
      <c r="B97" s="1">
        <v>45712.250555555554</v>
      </c>
      <c r="C97" s="2">
        <v>4.244365234374996</v>
      </c>
      <c r="D97" s="3">
        <v>0</v>
      </c>
      <c r="F97" s="2">
        <v>4.4159667968749972</v>
      </c>
    </row>
    <row r="98" spans="1:6" x14ac:dyDescent="0.2">
      <c r="A98">
        <v>97</v>
      </c>
      <c r="B98" s="1">
        <v>45712.45888888889</v>
      </c>
      <c r="C98" s="2">
        <v>4.4159667968749972</v>
      </c>
      <c r="D98" s="3">
        <v>0</v>
      </c>
      <c r="F98" s="2">
        <v>4.4159667968749972</v>
      </c>
    </row>
    <row r="99" spans="1:6" x14ac:dyDescent="0.2">
      <c r="A99">
        <v>98</v>
      </c>
      <c r="B99" s="1">
        <v>45712.667222222219</v>
      </c>
      <c r="C99" s="2">
        <v>4.4159667968749972</v>
      </c>
      <c r="D99" s="3">
        <v>0</v>
      </c>
      <c r="F99" s="2">
        <v>4.5017675781249977</v>
      </c>
    </row>
    <row r="100" spans="1:6" x14ac:dyDescent="0.2">
      <c r="A100">
        <v>99</v>
      </c>
      <c r="B100" s="1">
        <v>45712.875555555554</v>
      </c>
      <c r="C100" s="2">
        <v>4.5017675781249977</v>
      </c>
      <c r="D100" s="3">
        <v>0</v>
      </c>
      <c r="F100" s="2">
        <v>4.3301660156249966</v>
      </c>
    </row>
    <row r="101" spans="1:6" x14ac:dyDescent="0.2">
      <c r="A101">
        <v>100</v>
      </c>
      <c r="B101" s="1">
        <v>45713.08388888889</v>
      </c>
      <c r="C101" s="2">
        <v>4.3301660156249966</v>
      </c>
      <c r="D101" s="3">
        <v>0</v>
      </c>
      <c r="F101" s="2">
        <v>4.4588671874999974</v>
      </c>
    </row>
    <row r="102" spans="1:6" x14ac:dyDescent="0.2">
      <c r="A102">
        <v>101</v>
      </c>
      <c r="B102" s="1">
        <v>45713.292222222219</v>
      </c>
      <c r="C102" s="2">
        <v>4.4588671874999974</v>
      </c>
      <c r="D102" s="3">
        <v>0</v>
      </c>
      <c r="F102" s="2">
        <v>4.2014648437499957</v>
      </c>
    </row>
    <row r="103" spans="1:6" x14ac:dyDescent="0.2">
      <c r="A103">
        <v>102</v>
      </c>
      <c r="B103" s="1">
        <v>45713.500555555554</v>
      </c>
      <c r="C103" s="2">
        <v>4.2014648437499957</v>
      </c>
      <c r="D103" s="3">
        <v>0</v>
      </c>
      <c r="F103" s="2">
        <v>4.3730664062499969</v>
      </c>
    </row>
    <row r="104" spans="1:6" x14ac:dyDescent="0.2">
      <c r="A104">
        <v>103</v>
      </c>
      <c r="B104" s="1">
        <v>45713.70888888889</v>
      </c>
      <c r="C104" s="2">
        <v>4.3730664062499969</v>
      </c>
      <c r="D104" s="3">
        <v>0</v>
      </c>
      <c r="F104" s="2">
        <v>4.244365234374996</v>
      </c>
    </row>
    <row r="105" spans="1:6" x14ac:dyDescent="0.2">
      <c r="A105">
        <v>104</v>
      </c>
      <c r="B105" s="1">
        <v>45713.917222222219</v>
      </c>
      <c r="C105" s="2">
        <v>4.244365234374996</v>
      </c>
      <c r="D105" s="3">
        <v>0</v>
      </c>
      <c r="F105" s="2">
        <v>3.9011621093750009</v>
      </c>
    </row>
    <row r="106" spans="1:6" x14ac:dyDescent="0.2">
      <c r="A106">
        <v>105</v>
      </c>
      <c r="B106" s="1">
        <v>45714.125555555554</v>
      </c>
      <c r="C106" s="2">
        <v>3.9011621093750009</v>
      </c>
      <c r="D106" s="3">
        <v>0</v>
      </c>
      <c r="F106" s="2">
        <v>3.8153613281249998</v>
      </c>
    </row>
    <row r="107" spans="1:6" x14ac:dyDescent="0.2">
      <c r="A107">
        <v>106</v>
      </c>
      <c r="B107" s="1">
        <v>45714.33388888889</v>
      </c>
      <c r="C107" s="2">
        <v>3.8153613281249998</v>
      </c>
      <c r="D107" s="3">
        <v>0</v>
      </c>
      <c r="F107" s="2">
        <v>4.4159667968749972</v>
      </c>
    </row>
    <row r="108" spans="1:6" x14ac:dyDescent="0.2">
      <c r="A108">
        <v>107</v>
      </c>
      <c r="B108" s="1">
        <v>45714.542222222219</v>
      </c>
      <c r="C108" s="2">
        <v>4.4159667968749972</v>
      </c>
      <c r="D108" s="3">
        <v>0</v>
      </c>
      <c r="F108" s="2">
        <v>4.3301660156249966</v>
      </c>
    </row>
    <row r="109" spans="1:6" x14ac:dyDescent="0.2">
      <c r="A109">
        <v>108</v>
      </c>
      <c r="B109" s="1">
        <v>45714.750555555554</v>
      </c>
      <c r="C109" s="2">
        <v>4.3301660156249966</v>
      </c>
      <c r="D109" s="3">
        <v>0</v>
      </c>
      <c r="F109" s="2">
        <v>4.3730664062499969</v>
      </c>
    </row>
    <row r="110" spans="1:6" x14ac:dyDescent="0.2">
      <c r="A110">
        <v>109</v>
      </c>
      <c r="B110" s="1">
        <v>45714.95888888889</v>
      </c>
      <c r="C110" s="2">
        <v>4.3730664062499969</v>
      </c>
      <c r="D110" s="3">
        <v>0</v>
      </c>
      <c r="F110" s="2">
        <v>4.3730664062499969</v>
      </c>
    </row>
    <row r="111" spans="1:6" x14ac:dyDescent="0.2">
      <c r="A111">
        <v>110</v>
      </c>
      <c r="B111" s="1">
        <v>45715.167222222219</v>
      </c>
      <c r="C111" s="2">
        <v>4.3730664062499969</v>
      </c>
      <c r="D111" s="3">
        <v>0</v>
      </c>
      <c r="F111" s="2">
        <v>4.244365234374996</v>
      </c>
    </row>
    <row r="112" spans="1:6" x14ac:dyDescent="0.2">
      <c r="A112">
        <v>111</v>
      </c>
      <c r="B112" s="1">
        <v>45715.375555555554</v>
      </c>
      <c r="C112" s="2">
        <v>4.244365234374996</v>
      </c>
      <c r="D112" s="3">
        <v>0</v>
      </c>
      <c r="F112" s="2">
        <v>4.0727636718749949</v>
      </c>
    </row>
    <row r="113" spans="1:6" x14ac:dyDescent="0.2">
      <c r="A113">
        <v>112</v>
      </c>
      <c r="B113" s="1">
        <v>45715.58388888889</v>
      </c>
      <c r="C113" s="2">
        <v>4.0727636718749949</v>
      </c>
      <c r="D113" s="3">
        <v>0</v>
      </c>
      <c r="F113" s="2">
        <v>4.2872656249999963</v>
      </c>
    </row>
    <row r="114" spans="1:6" x14ac:dyDescent="0.2">
      <c r="A114">
        <v>113</v>
      </c>
      <c r="B114" s="1">
        <v>45715.792222222219</v>
      </c>
      <c r="C114" s="2">
        <v>4.2872656249999963</v>
      </c>
      <c r="D114" s="3">
        <v>0</v>
      </c>
      <c r="F114" s="2">
        <v>4.4159667968749972</v>
      </c>
    </row>
    <row r="115" spans="1:6" x14ac:dyDescent="0.2">
      <c r="A115">
        <v>114</v>
      </c>
      <c r="B115" s="1">
        <v>45716.000555555554</v>
      </c>
      <c r="C115" s="2">
        <v>4.4159667968749972</v>
      </c>
      <c r="D115" s="3">
        <v>0</v>
      </c>
      <c r="F115" s="2">
        <v>2.8715527343750011</v>
      </c>
    </row>
    <row r="116" spans="1:6" x14ac:dyDescent="0.2">
      <c r="A116">
        <v>115</v>
      </c>
      <c r="B116" s="1">
        <v>45716.20888888889</v>
      </c>
      <c r="C116" s="2">
        <v>2.8715527343750011</v>
      </c>
      <c r="D116" s="3">
        <v>0</v>
      </c>
      <c r="F116" s="2">
        <v>4.1585644531249955</v>
      </c>
    </row>
    <row r="117" spans="1:6" x14ac:dyDescent="0.2">
      <c r="A117">
        <v>116</v>
      </c>
      <c r="B117" s="1">
        <v>45716.417222222219</v>
      </c>
      <c r="C117" s="2">
        <v>4.1585644531249955</v>
      </c>
      <c r="D117" s="3">
        <v>0</v>
      </c>
      <c r="F117" s="2">
        <v>3.8582617187500006</v>
      </c>
    </row>
    <row r="118" spans="1:6" x14ac:dyDescent="0.2">
      <c r="A118">
        <v>117</v>
      </c>
      <c r="B118" s="1">
        <v>45716.625555555554</v>
      </c>
      <c r="C118" s="2">
        <v>3.8582617187500006</v>
      </c>
      <c r="D118" s="3">
        <v>0</v>
      </c>
      <c r="F118" s="2">
        <v>3.7295605468750002</v>
      </c>
    </row>
    <row r="119" spans="1:6" x14ac:dyDescent="0.2">
      <c r="A119">
        <v>118</v>
      </c>
      <c r="B119" s="1">
        <v>45716.83388888889</v>
      </c>
      <c r="C119" s="2">
        <v>3.7295605468750002</v>
      </c>
      <c r="D119" s="3">
        <v>0</v>
      </c>
      <c r="F119" s="2">
        <v>3.6866601562499994</v>
      </c>
    </row>
    <row r="120" spans="1:6" x14ac:dyDescent="0.2">
      <c r="A120">
        <v>119</v>
      </c>
      <c r="B120" s="1">
        <v>45717.042222222219</v>
      </c>
      <c r="C120" s="2">
        <v>3.6866601562499994</v>
      </c>
      <c r="D120" s="3">
        <v>0</v>
      </c>
      <c r="F120" s="2">
        <v>3.6866601562499994</v>
      </c>
    </row>
    <row r="121" spans="1:6" x14ac:dyDescent="0.2">
      <c r="A121">
        <v>120</v>
      </c>
      <c r="B121" s="1">
        <v>45717.250555555554</v>
      </c>
      <c r="C121" s="2">
        <v>3.6866601562499994</v>
      </c>
      <c r="D121" s="3">
        <v>0</v>
      </c>
      <c r="F121" s="2">
        <v>3.6437597656249991</v>
      </c>
    </row>
    <row r="122" spans="1:6" x14ac:dyDescent="0.2">
      <c r="A122">
        <v>121</v>
      </c>
      <c r="B122" s="1">
        <v>45717.45888888889</v>
      </c>
      <c r="C122" s="2">
        <v>3.6437597656249991</v>
      </c>
      <c r="D122" s="3">
        <v>0</v>
      </c>
      <c r="F122" s="2">
        <v>3.6866601562499994</v>
      </c>
    </row>
    <row r="123" spans="1:6" x14ac:dyDescent="0.2">
      <c r="A123">
        <v>122</v>
      </c>
      <c r="B123" s="1">
        <v>45717.667222222219</v>
      </c>
      <c r="C123" s="2">
        <v>3.6866601562499994</v>
      </c>
      <c r="D123" s="3">
        <v>0</v>
      </c>
      <c r="F123" s="2">
        <v>3.7724609375</v>
      </c>
    </row>
    <row r="124" spans="1:6" x14ac:dyDescent="0.2">
      <c r="A124">
        <v>123</v>
      </c>
      <c r="B124" s="1">
        <v>45717.875555555554</v>
      </c>
      <c r="C124" s="2">
        <v>3.7724609375</v>
      </c>
      <c r="D124" s="3">
        <v>0</v>
      </c>
      <c r="F124" s="2">
        <v>3.7724609375</v>
      </c>
    </row>
    <row r="125" spans="1:6" x14ac:dyDescent="0.2">
      <c r="A125">
        <v>124</v>
      </c>
      <c r="B125" s="1">
        <v>45718.08388888889</v>
      </c>
      <c r="C125" s="2">
        <v>3.7724609375</v>
      </c>
      <c r="D125" s="3">
        <v>0</v>
      </c>
      <c r="F125" s="2">
        <v>3.7724609375</v>
      </c>
    </row>
    <row r="126" spans="1:6" x14ac:dyDescent="0.2">
      <c r="A126">
        <v>125</v>
      </c>
      <c r="B126" s="1">
        <v>45718.292222222219</v>
      </c>
      <c r="C126" s="2">
        <v>3.7724609375</v>
      </c>
      <c r="D126" s="3">
        <v>0</v>
      </c>
      <c r="F126" s="2">
        <v>3.9440625000000011</v>
      </c>
    </row>
    <row r="127" spans="1:6" x14ac:dyDescent="0.2">
      <c r="A127">
        <v>126</v>
      </c>
      <c r="B127" s="1">
        <v>45718.500555555554</v>
      </c>
      <c r="C127" s="2">
        <v>3.9440625000000011</v>
      </c>
      <c r="D127" s="3">
        <v>0</v>
      </c>
      <c r="F127" s="2">
        <v>4.0727636718749949</v>
      </c>
    </row>
    <row r="128" spans="1:6" x14ac:dyDescent="0.2">
      <c r="A128">
        <v>127</v>
      </c>
      <c r="B128" s="1">
        <v>45718.70888888889</v>
      </c>
      <c r="C128" s="2">
        <v>4.0727636718749949</v>
      </c>
      <c r="D128" s="3">
        <v>0</v>
      </c>
      <c r="F128" s="2">
        <v>4.1585644531249955</v>
      </c>
    </row>
    <row r="129" spans="1:6" x14ac:dyDescent="0.2">
      <c r="A129">
        <v>128</v>
      </c>
      <c r="B129" s="1">
        <v>45718.917222222219</v>
      </c>
      <c r="C129" s="2">
        <v>4.1585644531249955</v>
      </c>
      <c r="D129" s="3">
        <v>0</v>
      </c>
      <c r="F129" s="2">
        <v>4.2872656249999963</v>
      </c>
    </row>
    <row r="130" spans="1:6" x14ac:dyDescent="0.2">
      <c r="A130">
        <v>129</v>
      </c>
      <c r="B130" s="1">
        <v>45719.125555555554</v>
      </c>
      <c r="C130" s="2">
        <v>4.2872656249999963</v>
      </c>
      <c r="D130" s="3">
        <v>0</v>
      </c>
      <c r="F130" s="2">
        <v>4.244365234374996</v>
      </c>
    </row>
    <row r="131" spans="1:6" x14ac:dyDescent="0.2">
      <c r="A131">
        <v>130</v>
      </c>
      <c r="B131" s="1">
        <v>45719.33388888889</v>
      </c>
      <c r="C131" s="2">
        <v>4.244365234374996</v>
      </c>
      <c r="D131" s="3">
        <v>0</v>
      </c>
      <c r="F131" s="2">
        <v>4.4159667968749972</v>
      </c>
    </row>
    <row r="132" spans="1:6" x14ac:dyDescent="0.2">
      <c r="A132">
        <v>131</v>
      </c>
      <c r="B132" s="1">
        <v>45719.542222222219</v>
      </c>
      <c r="C132" s="2">
        <v>4.4159667968749972</v>
      </c>
      <c r="D132" s="3">
        <v>0</v>
      </c>
      <c r="F132" s="2">
        <v>4.5875683593749983</v>
      </c>
    </row>
    <row r="133" spans="1:6" x14ac:dyDescent="0.2">
      <c r="A133">
        <v>132</v>
      </c>
      <c r="B133" s="1">
        <v>45719.750555555554</v>
      </c>
      <c r="C133" s="2">
        <v>4.5875683593749983</v>
      </c>
      <c r="D133" s="3">
        <v>0</v>
      </c>
      <c r="F133" s="2">
        <v>4.544667968749998</v>
      </c>
    </row>
    <row r="134" spans="1:6" x14ac:dyDescent="0.2">
      <c r="A134">
        <v>133</v>
      </c>
      <c r="B134" s="1">
        <v>45719.95888888889</v>
      </c>
      <c r="C134" s="2">
        <v>4.544667968749998</v>
      </c>
      <c r="D134" s="3">
        <v>0</v>
      </c>
      <c r="F134" s="2">
        <v>4.6304687499999986</v>
      </c>
    </row>
    <row r="135" spans="1:6" x14ac:dyDescent="0.2">
      <c r="A135">
        <v>134</v>
      </c>
      <c r="B135" s="1">
        <v>45720.167222222219</v>
      </c>
      <c r="C135" s="2">
        <v>4.6304687499999986</v>
      </c>
      <c r="D135" s="3">
        <v>0</v>
      </c>
      <c r="F135" s="2">
        <v>4.6304687499999986</v>
      </c>
    </row>
    <row r="136" spans="1:6" x14ac:dyDescent="0.2">
      <c r="A136">
        <v>135</v>
      </c>
      <c r="B136" s="1">
        <v>45720.375555555554</v>
      </c>
      <c r="C136" s="2">
        <v>4.6304687499999986</v>
      </c>
      <c r="D136" s="3">
        <v>0</v>
      </c>
      <c r="F136" s="2">
        <v>4.4588671874999974</v>
      </c>
    </row>
    <row r="137" spans="1:6" x14ac:dyDescent="0.2">
      <c r="A137">
        <v>136</v>
      </c>
      <c r="B137" s="1">
        <v>45720.58388888889</v>
      </c>
      <c r="C137" s="2">
        <v>4.4588671874999974</v>
      </c>
      <c r="D137" s="3">
        <v>0</v>
      </c>
      <c r="F137" s="2">
        <v>4.2014648437499957</v>
      </c>
    </row>
    <row r="138" spans="1:6" x14ac:dyDescent="0.2">
      <c r="A138">
        <v>137</v>
      </c>
      <c r="B138" s="1">
        <v>45720.792222222219</v>
      </c>
      <c r="C138" s="2">
        <v>4.2014648437499957</v>
      </c>
      <c r="D138" s="3">
        <v>0</v>
      </c>
      <c r="F138" s="2">
        <v>3.6437597656249991</v>
      </c>
    </row>
    <row r="139" spans="1:6" x14ac:dyDescent="0.2">
      <c r="A139">
        <v>138</v>
      </c>
      <c r="B139" s="1">
        <v>45721.000555555554</v>
      </c>
      <c r="C139" s="2">
        <v>3.6437597656249991</v>
      </c>
      <c r="D139" s="3">
        <v>0</v>
      </c>
      <c r="F139" s="2">
        <v>4.0727636718749949</v>
      </c>
    </row>
    <row r="140" spans="1:6" x14ac:dyDescent="0.2">
      <c r="A140">
        <v>139</v>
      </c>
      <c r="B140" s="1">
        <v>45721.20888888889</v>
      </c>
      <c r="C140" s="2">
        <v>4.0727636718749949</v>
      </c>
      <c r="D140" s="3">
        <v>0</v>
      </c>
      <c r="F140" s="2">
        <v>3.7724609375</v>
      </c>
    </row>
    <row r="141" spans="1:6" x14ac:dyDescent="0.2">
      <c r="A141">
        <v>140</v>
      </c>
      <c r="B141" s="1">
        <v>45721.417222222219</v>
      </c>
      <c r="C141" s="2">
        <v>3.7724609375</v>
      </c>
      <c r="D141" s="3">
        <v>0</v>
      </c>
      <c r="F141" s="2">
        <v>3.6437597656249991</v>
      </c>
    </row>
    <row r="142" spans="1:6" x14ac:dyDescent="0.2">
      <c r="A142">
        <v>141</v>
      </c>
      <c r="B142" s="1">
        <v>45721.625555555554</v>
      </c>
      <c r="C142" s="2">
        <v>3.6437597656249991</v>
      </c>
      <c r="D142" s="3">
        <v>0.42</v>
      </c>
      <c r="F142" s="2">
        <v>3.5579589843749986</v>
      </c>
    </row>
    <row r="143" spans="1:6" x14ac:dyDescent="0.2">
      <c r="A143">
        <v>142</v>
      </c>
      <c r="B143" s="1">
        <v>45721.83388888889</v>
      </c>
      <c r="C143" s="2">
        <v>3.5579589843749986</v>
      </c>
      <c r="D143" s="3">
        <v>0</v>
      </c>
      <c r="F143" s="2">
        <v>3.6008593749999989</v>
      </c>
    </row>
    <row r="144" spans="1:6" x14ac:dyDescent="0.2">
      <c r="A144">
        <v>143</v>
      </c>
      <c r="B144" s="1">
        <v>45722.042222222219</v>
      </c>
      <c r="C144" s="2">
        <v>3.6008593749999989</v>
      </c>
      <c r="D144" s="3">
        <v>0</v>
      </c>
      <c r="F144" s="2">
        <v>3.6866601562499994</v>
      </c>
    </row>
    <row r="145" spans="1:6" x14ac:dyDescent="0.2">
      <c r="A145">
        <v>144</v>
      </c>
      <c r="B145" s="1">
        <v>45722.250555555554</v>
      </c>
      <c r="C145" s="2">
        <v>3.6866601562499994</v>
      </c>
      <c r="D145" s="3">
        <v>0</v>
      </c>
      <c r="F145" s="2">
        <v>3.7724609375</v>
      </c>
    </row>
    <row r="146" spans="1:6" x14ac:dyDescent="0.2">
      <c r="A146">
        <v>145</v>
      </c>
      <c r="B146" s="1">
        <v>45722.45888888889</v>
      </c>
      <c r="C146" s="2">
        <v>3.7724609375</v>
      </c>
      <c r="D146" s="3">
        <v>0</v>
      </c>
      <c r="F146" s="2">
        <v>3.9011621093750009</v>
      </c>
    </row>
    <row r="147" spans="1:6" x14ac:dyDescent="0.2">
      <c r="A147">
        <v>146</v>
      </c>
      <c r="B147" s="1">
        <v>45722.667222222219</v>
      </c>
      <c r="C147" s="2">
        <v>3.9011621093750009</v>
      </c>
      <c r="D147" s="3">
        <v>0</v>
      </c>
      <c r="F147" s="2">
        <v>3.9011621093750009</v>
      </c>
    </row>
    <row r="148" spans="1:6" x14ac:dyDescent="0.2">
      <c r="A148">
        <v>147</v>
      </c>
      <c r="B148" s="1">
        <v>45722.875555555554</v>
      </c>
      <c r="C148" s="2">
        <v>3.9011621093750009</v>
      </c>
      <c r="D148" s="3">
        <v>0</v>
      </c>
      <c r="F148" s="2">
        <v>3.9440625000000011</v>
      </c>
    </row>
    <row r="149" spans="1:6" x14ac:dyDescent="0.2">
      <c r="A149">
        <v>148</v>
      </c>
      <c r="B149" s="1">
        <v>45723.08388888889</v>
      </c>
      <c r="C149" s="2">
        <v>3.9440625000000011</v>
      </c>
      <c r="D149" s="3">
        <v>0</v>
      </c>
      <c r="F149" s="2">
        <v>4.1585644531249955</v>
      </c>
    </row>
    <row r="150" spans="1:6" x14ac:dyDescent="0.2">
      <c r="A150">
        <v>149</v>
      </c>
      <c r="B150" s="1">
        <v>45723.292222222219</v>
      </c>
      <c r="C150" s="2">
        <v>4.1585644531249955</v>
      </c>
      <c r="D150" s="3">
        <v>0</v>
      </c>
      <c r="F150" s="2">
        <v>3.9011621093750009</v>
      </c>
    </row>
    <row r="151" spans="1:6" x14ac:dyDescent="0.2">
      <c r="A151">
        <v>150</v>
      </c>
      <c r="B151" s="1">
        <v>45723.500555555554</v>
      </c>
      <c r="C151" s="2">
        <v>3.9011621093750009</v>
      </c>
      <c r="D151" s="3">
        <v>0</v>
      </c>
      <c r="F151" s="2">
        <v>3.8153613281249998</v>
      </c>
    </row>
    <row r="152" spans="1:6" x14ac:dyDescent="0.2">
      <c r="A152">
        <v>151</v>
      </c>
      <c r="B152" s="1">
        <v>45723.70888888889</v>
      </c>
      <c r="C152" s="2">
        <v>3.8153613281249998</v>
      </c>
      <c r="D152" s="3">
        <v>0</v>
      </c>
      <c r="F152" s="2">
        <v>3.9011621093750009</v>
      </c>
    </row>
    <row r="153" spans="1:6" x14ac:dyDescent="0.2">
      <c r="A153">
        <v>152</v>
      </c>
      <c r="B153" s="1">
        <v>45723.917222222219</v>
      </c>
      <c r="C153" s="2">
        <v>3.9011621093750009</v>
      </c>
      <c r="D153" s="3">
        <v>0</v>
      </c>
      <c r="F153" s="2">
        <v>3.9869628906250014</v>
      </c>
    </row>
    <row r="154" spans="1:6" x14ac:dyDescent="0.2">
      <c r="A154">
        <v>153</v>
      </c>
      <c r="B154" s="1">
        <v>45724.125555555554</v>
      </c>
      <c r="C154" s="2">
        <v>3.9869628906250014</v>
      </c>
      <c r="D154" s="3">
        <v>0</v>
      </c>
      <c r="F154" s="2">
        <v>4.1156640624999952</v>
      </c>
    </row>
    <row r="155" spans="1:6" x14ac:dyDescent="0.2">
      <c r="A155">
        <v>154</v>
      </c>
      <c r="B155" s="1">
        <v>45724.33388888889</v>
      </c>
      <c r="C155" s="2">
        <v>4.1156640624999952</v>
      </c>
      <c r="D155" s="3">
        <v>0</v>
      </c>
      <c r="F155" s="2">
        <v>4.1156640624999952</v>
      </c>
    </row>
    <row r="156" spans="1:6" x14ac:dyDescent="0.2">
      <c r="A156">
        <v>155</v>
      </c>
      <c r="B156" s="1">
        <v>45724.542222222219</v>
      </c>
      <c r="C156" s="2">
        <v>4.1156640624999952</v>
      </c>
      <c r="D156" s="3">
        <v>0</v>
      </c>
      <c r="F156" s="2">
        <v>4.0298632812500017</v>
      </c>
    </row>
    <row r="157" spans="1:6" x14ac:dyDescent="0.2">
      <c r="A157">
        <v>156</v>
      </c>
      <c r="B157" s="1">
        <v>45724.750555555554</v>
      </c>
      <c r="C157" s="2">
        <v>4.0298632812500017</v>
      </c>
      <c r="D157" s="3">
        <v>0</v>
      </c>
      <c r="F157" s="2">
        <v>3.9869628906250014</v>
      </c>
    </row>
    <row r="158" spans="1:6" x14ac:dyDescent="0.2">
      <c r="A158">
        <v>157</v>
      </c>
      <c r="B158" s="1">
        <v>45724.95888888889</v>
      </c>
      <c r="C158" s="2">
        <v>3.9869628906250014</v>
      </c>
      <c r="D158" s="3">
        <v>0</v>
      </c>
      <c r="F158" s="2">
        <v>4.244365234374996</v>
      </c>
    </row>
    <row r="159" spans="1:6" x14ac:dyDescent="0.2">
      <c r="A159">
        <v>158</v>
      </c>
      <c r="B159" s="1">
        <v>45725.20888888889</v>
      </c>
      <c r="C159" s="2">
        <v>4.244365234374996</v>
      </c>
      <c r="D159" s="3">
        <v>0</v>
      </c>
      <c r="F159" s="2">
        <v>4.4159667968749972</v>
      </c>
    </row>
    <row r="160" spans="1:6" x14ac:dyDescent="0.2">
      <c r="A160">
        <v>159</v>
      </c>
      <c r="B160" s="1">
        <v>45725.417222222219</v>
      </c>
      <c r="C160" s="2">
        <v>4.4159667968749972</v>
      </c>
      <c r="D160" s="3">
        <v>0</v>
      </c>
      <c r="F160" s="2">
        <v>4.6304687499999986</v>
      </c>
    </row>
    <row r="161" spans="1:6" x14ac:dyDescent="0.2">
      <c r="A161">
        <v>160</v>
      </c>
      <c r="B161" s="1">
        <v>45725.625555555554</v>
      </c>
      <c r="C161" s="2">
        <v>4.6304687499999986</v>
      </c>
      <c r="D161" s="3">
        <v>0</v>
      </c>
      <c r="F161" s="2">
        <v>4.544667968749998</v>
      </c>
    </row>
    <row r="162" spans="1:6" x14ac:dyDescent="0.2">
      <c r="A162">
        <v>161</v>
      </c>
      <c r="B162" s="1">
        <v>45725.83388888889</v>
      </c>
      <c r="C162" s="2">
        <v>4.544667968749998</v>
      </c>
      <c r="D162" s="3">
        <v>0</v>
      </c>
      <c r="F162" s="2">
        <v>4.5017675781249977</v>
      </c>
    </row>
    <row r="163" spans="1:6" x14ac:dyDescent="0.2">
      <c r="A163">
        <v>162</v>
      </c>
      <c r="B163" s="1">
        <v>45726.042222222219</v>
      </c>
      <c r="C163" s="2">
        <v>4.5017675781249977</v>
      </c>
      <c r="D163" s="3">
        <v>0</v>
      </c>
      <c r="F163" s="2">
        <v>4.5875683593749983</v>
      </c>
    </row>
    <row r="164" spans="1:6" x14ac:dyDescent="0.2">
      <c r="A164">
        <v>163</v>
      </c>
      <c r="B164" s="1">
        <v>45726.250555555554</v>
      </c>
      <c r="C164" s="2">
        <v>4.5875683593749983</v>
      </c>
      <c r="D164" s="3">
        <v>0</v>
      </c>
      <c r="F164" s="2">
        <v>4.544667968749998</v>
      </c>
    </row>
    <row r="165" spans="1:6" x14ac:dyDescent="0.2">
      <c r="A165">
        <v>164</v>
      </c>
      <c r="B165" s="1">
        <v>45726.45888888889</v>
      </c>
      <c r="C165" s="2">
        <v>4.544667968749998</v>
      </c>
      <c r="D165" s="3">
        <v>0</v>
      </c>
      <c r="F165" s="2">
        <v>6.4322851562499963</v>
      </c>
    </row>
    <row r="166" spans="1:6" x14ac:dyDescent="0.2">
      <c r="A166">
        <v>165</v>
      </c>
      <c r="B166" s="1">
        <v>45726.667222222219</v>
      </c>
      <c r="C166" s="2">
        <v>6.4322851562499963</v>
      </c>
      <c r="D166" s="3">
        <v>0</v>
      </c>
      <c r="F166" s="2">
        <v>6.0461816406250009</v>
      </c>
    </row>
    <row r="167" spans="1:6" x14ac:dyDescent="0.2">
      <c r="A167">
        <v>166</v>
      </c>
      <c r="B167" s="1">
        <v>45726.875555555554</v>
      </c>
      <c r="C167" s="2">
        <v>6.0461816406250009</v>
      </c>
      <c r="D167" s="3">
        <v>0</v>
      </c>
      <c r="F167" s="2">
        <v>4.6304687499999986</v>
      </c>
    </row>
    <row r="168" spans="1:6" x14ac:dyDescent="0.2">
      <c r="A168">
        <v>167</v>
      </c>
      <c r="B168" s="1">
        <v>45727.08388888889</v>
      </c>
      <c r="C168" s="2">
        <v>4.6304687499999986</v>
      </c>
      <c r="D168" s="3">
        <v>0</v>
      </c>
      <c r="F168" s="2">
        <v>4.3730664062499969</v>
      </c>
    </row>
    <row r="169" spans="1:6" x14ac:dyDescent="0.2">
      <c r="A169">
        <v>168</v>
      </c>
      <c r="B169" s="1">
        <v>45727.292222222219</v>
      </c>
      <c r="C169" s="2">
        <v>4.3730664062499969</v>
      </c>
      <c r="D169" s="3">
        <v>0</v>
      </c>
      <c r="F169" s="2">
        <v>4.244365234374996</v>
      </c>
    </row>
    <row r="170" spans="1:6" x14ac:dyDescent="0.2">
      <c r="A170">
        <v>169</v>
      </c>
      <c r="B170" s="1">
        <v>45727.500555555554</v>
      </c>
      <c r="C170" s="2">
        <v>4.244365234374996</v>
      </c>
      <c r="D170" s="3">
        <v>0</v>
      </c>
      <c r="F170" s="2">
        <v>4.244365234374996</v>
      </c>
    </row>
    <row r="171" spans="1:6" x14ac:dyDescent="0.2">
      <c r="A171">
        <v>170</v>
      </c>
      <c r="B171" s="1">
        <v>45727.70888888889</v>
      </c>
      <c r="C171" s="2">
        <v>4.244365234374996</v>
      </c>
      <c r="D171" s="3">
        <v>0</v>
      </c>
      <c r="F171" s="2">
        <v>4.4588671874999974</v>
      </c>
    </row>
    <row r="172" spans="1:6" x14ac:dyDescent="0.2">
      <c r="A172">
        <v>171</v>
      </c>
      <c r="B172" s="1">
        <v>45727.917222222219</v>
      </c>
      <c r="C172" s="2">
        <v>4.4588671874999974</v>
      </c>
      <c r="D172" s="3">
        <v>0</v>
      </c>
      <c r="F172" s="2">
        <v>4.2872656249999963</v>
      </c>
    </row>
    <row r="173" spans="1:6" x14ac:dyDescent="0.2">
      <c r="A173">
        <v>172</v>
      </c>
      <c r="B173" s="1">
        <v>45728.125555555554</v>
      </c>
      <c r="C173" s="2">
        <v>4.2872656249999963</v>
      </c>
      <c r="D173" s="3">
        <v>0</v>
      </c>
      <c r="F173" s="2">
        <v>4.4588671874999974</v>
      </c>
    </row>
    <row r="174" spans="1:6" x14ac:dyDescent="0.2">
      <c r="A174">
        <v>173</v>
      </c>
      <c r="B174" s="1">
        <v>45728.33388888889</v>
      </c>
      <c r="C174" s="2">
        <v>4.4588671874999974</v>
      </c>
      <c r="D174" s="3">
        <v>0</v>
      </c>
      <c r="F174" s="2">
        <v>3.9440625000000011</v>
      </c>
    </row>
    <row r="175" spans="1:6" x14ac:dyDescent="0.2">
      <c r="A175">
        <v>174</v>
      </c>
      <c r="B175" s="1">
        <v>45728.542222222219</v>
      </c>
      <c r="C175" s="2">
        <v>3.9440625000000011</v>
      </c>
      <c r="D175" s="3">
        <v>0</v>
      </c>
      <c r="F175" s="2">
        <v>4.4588671874999974</v>
      </c>
    </row>
    <row r="176" spans="1:6" x14ac:dyDescent="0.2">
      <c r="A176">
        <v>175</v>
      </c>
      <c r="B176" s="1">
        <v>45728.750555555554</v>
      </c>
      <c r="C176" s="2">
        <v>4.4588671874999974</v>
      </c>
      <c r="D176" s="3">
        <v>0</v>
      </c>
      <c r="F176" s="2">
        <v>4.544667968749998</v>
      </c>
    </row>
    <row r="177" spans="1:6" x14ac:dyDescent="0.2">
      <c r="A177">
        <v>176</v>
      </c>
      <c r="B177" s="1">
        <v>45728.95888888889</v>
      </c>
      <c r="C177" s="2">
        <v>4.544667968749998</v>
      </c>
      <c r="D177" s="3">
        <v>0</v>
      </c>
      <c r="F177" s="2">
        <v>4.6304687499999986</v>
      </c>
    </row>
    <row r="178" spans="1:6" x14ac:dyDescent="0.2">
      <c r="A178">
        <v>177</v>
      </c>
      <c r="B178" s="1">
        <v>45729.167222222219</v>
      </c>
      <c r="C178" s="2">
        <v>4.6304687499999986</v>
      </c>
      <c r="D178" s="3">
        <v>0</v>
      </c>
      <c r="F178" s="2">
        <v>4.4588671874999974</v>
      </c>
    </row>
    <row r="179" spans="1:6" x14ac:dyDescent="0.2">
      <c r="A179">
        <v>178</v>
      </c>
      <c r="B179" s="1">
        <v>45729.375555555554</v>
      </c>
      <c r="C179" s="2">
        <v>4.4588671874999974</v>
      </c>
      <c r="D179" s="3">
        <v>0</v>
      </c>
      <c r="F179" s="2">
        <v>5.2310742187499955</v>
      </c>
    </row>
    <row r="180" spans="1:6" x14ac:dyDescent="0.2">
      <c r="A180">
        <v>179</v>
      </c>
      <c r="B180" s="1">
        <v>45729.58388888889</v>
      </c>
      <c r="C180" s="2">
        <v>5.2310742187499955</v>
      </c>
      <c r="D180" s="3">
        <v>0</v>
      </c>
      <c r="F180" s="2">
        <v>5.91748046875</v>
      </c>
    </row>
    <row r="181" spans="1:6" x14ac:dyDescent="0.2">
      <c r="A181">
        <v>180</v>
      </c>
      <c r="B181" s="1">
        <v>45729.792222222219</v>
      </c>
      <c r="C181" s="2">
        <v>5.91748046875</v>
      </c>
      <c r="D181" s="3">
        <v>0</v>
      </c>
      <c r="F181" s="2">
        <v>4.7591699218749994</v>
      </c>
    </row>
    <row r="182" spans="1:6" x14ac:dyDescent="0.2">
      <c r="A182">
        <v>181</v>
      </c>
      <c r="B182" s="1">
        <v>45730.000555555554</v>
      </c>
      <c r="C182" s="2">
        <v>4.7591699218749994</v>
      </c>
      <c r="D182" s="3">
        <v>0</v>
      </c>
      <c r="F182" s="2">
        <v>5.3597753906249963</v>
      </c>
    </row>
    <row r="183" spans="1:6" x14ac:dyDescent="0.2">
      <c r="A183">
        <v>182</v>
      </c>
      <c r="B183" s="1">
        <v>45730.20888888889</v>
      </c>
      <c r="C183" s="2">
        <v>5.3597753906249963</v>
      </c>
      <c r="D183" s="3">
        <v>0</v>
      </c>
      <c r="F183" s="2">
        <v>5.2310742187499955</v>
      </c>
    </row>
    <row r="184" spans="1:6" x14ac:dyDescent="0.2">
      <c r="A184">
        <v>183</v>
      </c>
      <c r="B184" s="1">
        <v>45730.417222222219</v>
      </c>
      <c r="C184" s="2">
        <v>5.2310742187499955</v>
      </c>
      <c r="D184" s="3">
        <v>0</v>
      </c>
      <c r="F184" s="2">
        <v>8.7918066406249977</v>
      </c>
    </row>
    <row r="185" spans="1:6" x14ac:dyDescent="0.2">
      <c r="A185">
        <v>184</v>
      </c>
      <c r="B185" s="1">
        <v>45730.625555555554</v>
      </c>
      <c r="C185" s="2">
        <v>8.7918066406249977</v>
      </c>
      <c r="D185" s="3">
        <v>0</v>
      </c>
      <c r="F185" s="2">
        <v>9.0921093749999997</v>
      </c>
    </row>
    <row r="186" spans="1:6" x14ac:dyDescent="0.2">
      <c r="A186">
        <v>185</v>
      </c>
      <c r="B186" s="1">
        <v>45730.83388888889</v>
      </c>
      <c r="C186" s="2">
        <v>9.0921093749999997</v>
      </c>
      <c r="D186" s="3">
        <v>0</v>
      </c>
      <c r="F186" s="2">
        <v>8.7060058593749972</v>
      </c>
    </row>
    <row r="187" spans="1:6" x14ac:dyDescent="0.2">
      <c r="A187">
        <v>186</v>
      </c>
      <c r="B187" s="1">
        <v>45731.042222222219</v>
      </c>
      <c r="C187" s="2">
        <v>8.7060058593749972</v>
      </c>
      <c r="D187" s="3">
        <v>0</v>
      </c>
      <c r="F187" s="2">
        <v>8.7918066406249977</v>
      </c>
    </row>
    <row r="188" spans="1:6" x14ac:dyDescent="0.2">
      <c r="A188">
        <v>187</v>
      </c>
      <c r="B188" s="1">
        <v>45731.250555555554</v>
      </c>
      <c r="C188" s="2">
        <v>8.7918066406249977</v>
      </c>
      <c r="D188" s="3">
        <v>0</v>
      </c>
      <c r="F188" s="2">
        <v>7.7192968749999977</v>
      </c>
    </row>
    <row r="189" spans="1:6" x14ac:dyDescent="0.2">
      <c r="A189">
        <v>188</v>
      </c>
      <c r="B189" s="1">
        <v>45731.45888888889</v>
      </c>
      <c r="C189" s="2">
        <v>7.7192968749999977</v>
      </c>
      <c r="D189" s="3">
        <v>0</v>
      </c>
      <c r="F189" s="2">
        <v>6.8183886718749989</v>
      </c>
    </row>
    <row r="190" spans="1:6" x14ac:dyDescent="0.2">
      <c r="A190">
        <v>189</v>
      </c>
      <c r="B190" s="1">
        <v>45731.667222222219</v>
      </c>
      <c r="C190" s="2">
        <v>6.8183886718749989</v>
      </c>
      <c r="D190" s="3">
        <v>0</v>
      </c>
      <c r="F190" s="2">
        <v>6.0032812499999997</v>
      </c>
    </row>
    <row r="191" spans="1:6" x14ac:dyDescent="0.2">
      <c r="A191">
        <v>190</v>
      </c>
      <c r="B191" s="1">
        <v>45731.875555555554</v>
      </c>
      <c r="C191" s="2">
        <v>6.0032812499999997</v>
      </c>
      <c r="D191" s="3">
        <v>0</v>
      </c>
      <c r="F191" s="2">
        <v>5.3597753906249963</v>
      </c>
    </row>
    <row r="192" spans="1:6" x14ac:dyDescent="0.2">
      <c r="A192">
        <v>191</v>
      </c>
      <c r="B192" s="1">
        <v>45732.08388888889</v>
      </c>
      <c r="C192" s="2">
        <v>5.3597753906249963</v>
      </c>
      <c r="D192" s="3">
        <v>0</v>
      </c>
      <c r="F192" s="2">
        <v>4.9736718750000009</v>
      </c>
    </row>
    <row r="193" spans="1:6" x14ac:dyDescent="0.2">
      <c r="A193">
        <v>192</v>
      </c>
      <c r="B193" s="1">
        <v>45732.292222222219</v>
      </c>
      <c r="C193" s="2">
        <v>4.9736718750000009</v>
      </c>
      <c r="D193" s="3">
        <v>0</v>
      </c>
      <c r="F193" s="2">
        <v>4.7162695312499991</v>
      </c>
    </row>
    <row r="194" spans="1:6" x14ac:dyDescent="0.2">
      <c r="A194">
        <v>193</v>
      </c>
      <c r="B194" s="1">
        <v>45732.500555555554</v>
      </c>
      <c r="C194" s="2">
        <v>4.7162695312499991</v>
      </c>
      <c r="D194" s="3">
        <v>0</v>
      </c>
      <c r="F194" s="2">
        <v>4.6304687499999986</v>
      </c>
    </row>
    <row r="195" spans="1:6" x14ac:dyDescent="0.2">
      <c r="A195">
        <v>194</v>
      </c>
      <c r="B195" s="1">
        <v>45732.70888888889</v>
      </c>
      <c r="C195" s="2">
        <v>4.6304687499999986</v>
      </c>
      <c r="D195" s="3">
        <v>0</v>
      </c>
      <c r="F195" s="2">
        <v>5.0165722656250011</v>
      </c>
    </row>
    <row r="196" spans="1:6" x14ac:dyDescent="0.2">
      <c r="A196">
        <v>195</v>
      </c>
      <c r="B196" s="1">
        <v>45732.917222222219</v>
      </c>
      <c r="C196" s="2">
        <v>5.0165722656250011</v>
      </c>
      <c r="D196" s="3">
        <v>0</v>
      </c>
      <c r="F196" s="2">
        <v>5.1452734374999949</v>
      </c>
    </row>
    <row r="197" spans="1:6" x14ac:dyDescent="0.2">
      <c r="A197">
        <v>196</v>
      </c>
      <c r="B197" s="1">
        <v>45733.125555555554</v>
      </c>
      <c r="C197" s="2">
        <v>5.1452734374999949</v>
      </c>
      <c r="D197" s="3">
        <v>0</v>
      </c>
      <c r="F197" s="2">
        <v>5.1452734374999949</v>
      </c>
    </row>
    <row r="198" spans="1:6" x14ac:dyDescent="0.2">
      <c r="A198">
        <v>197</v>
      </c>
      <c r="B198" s="1">
        <v>45733.33388888889</v>
      </c>
      <c r="C198" s="2">
        <v>5.1452734374999949</v>
      </c>
      <c r="D198" s="3">
        <v>0</v>
      </c>
      <c r="F198" s="2">
        <v>3.3863574218749974</v>
      </c>
    </row>
    <row r="199" spans="1:6" x14ac:dyDescent="0.2">
      <c r="A199">
        <v>198</v>
      </c>
      <c r="B199" s="1">
        <v>45733.542222222219</v>
      </c>
      <c r="C199" s="2">
        <v>3.3863574218749974</v>
      </c>
      <c r="D199" s="3">
        <v>0</v>
      </c>
      <c r="F199" s="2">
        <v>4.8878710937500003</v>
      </c>
    </row>
    <row r="200" spans="1:6" x14ac:dyDescent="0.2">
      <c r="A200">
        <v>199</v>
      </c>
      <c r="B200" s="1">
        <v>45733.750555555554</v>
      </c>
      <c r="C200" s="2">
        <v>4.8878710937500003</v>
      </c>
      <c r="D200" s="3">
        <v>0</v>
      </c>
      <c r="F200" s="2">
        <v>4.544667968749998</v>
      </c>
    </row>
    <row r="201" spans="1:6" x14ac:dyDescent="0.2">
      <c r="A201">
        <v>200</v>
      </c>
      <c r="B201" s="1">
        <v>45733.95888888889</v>
      </c>
      <c r="C201" s="2">
        <v>4.544667968749998</v>
      </c>
      <c r="D201" s="3">
        <v>0</v>
      </c>
      <c r="F201" s="2">
        <v>4.6733691406249989</v>
      </c>
    </row>
    <row r="202" spans="1:6" x14ac:dyDescent="0.2">
      <c r="A202">
        <v>201</v>
      </c>
      <c r="B202" s="1">
        <v>45734.167222222219</v>
      </c>
      <c r="C202" s="2">
        <v>4.6733691406249989</v>
      </c>
      <c r="D202" s="3">
        <v>0</v>
      </c>
      <c r="F202" s="2">
        <v>4.7162695312499991</v>
      </c>
    </row>
    <row r="203" spans="1:6" x14ac:dyDescent="0.2">
      <c r="A203">
        <v>202</v>
      </c>
      <c r="B203" s="1">
        <v>45734.375555555554</v>
      </c>
      <c r="C203" s="2">
        <v>4.7162695312499991</v>
      </c>
      <c r="D203" s="3">
        <v>0</v>
      </c>
      <c r="F203" s="2">
        <v>4.4159667968749972</v>
      </c>
    </row>
    <row r="204" spans="1:6" x14ac:dyDescent="0.2">
      <c r="A204">
        <v>203</v>
      </c>
      <c r="B204" s="1">
        <v>45734.58388888889</v>
      </c>
      <c r="C204" s="2">
        <v>4.4159667968749972</v>
      </c>
      <c r="D204" s="3">
        <v>0</v>
      </c>
      <c r="F204" s="2">
        <v>4.2014648437499957</v>
      </c>
    </row>
    <row r="205" spans="1:6" x14ac:dyDescent="0.2">
      <c r="A205">
        <v>204</v>
      </c>
      <c r="B205" s="1">
        <v>45734.792222222219</v>
      </c>
      <c r="C205" s="2">
        <v>4.2014648437499957</v>
      </c>
      <c r="D205" s="3">
        <v>0</v>
      </c>
      <c r="F205" s="2">
        <v>4.4588671874999974</v>
      </c>
    </row>
    <row r="206" spans="1:6" x14ac:dyDescent="0.2">
      <c r="A206">
        <v>205</v>
      </c>
      <c r="B206" s="1">
        <v>45735.000555555554</v>
      </c>
      <c r="C206" s="2">
        <v>4.4588671874999974</v>
      </c>
      <c r="D206" s="3">
        <v>0.42</v>
      </c>
      <c r="F206" s="2">
        <v>4.5017675781249977</v>
      </c>
    </row>
    <row r="207" spans="1:6" x14ac:dyDescent="0.2">
      <c r="A207">
        <v>206</v>
      </c>
      <c r="B207" s="1">
        <v>45735.20888888889</v>
      </c>
      <c r="C207" s="2">
        <v>4.5017675781249977</v>
      </c>
      <c r="D207" s="3">
        <v>0</v>
      </c>
      <c r="F207" s="2">
        <v>4.6304687499999986</v>
      </c>
    </row>
    <row r="208" spans="1:6" x14ac:dyDescent="0.2">
      <c r="A208">
        <v>207</v>
      </c>
      <c r="B208" s="1">
        <v>45735.417222222219</v>
      </c>
      <c r="C208" s="2">
        <v>4.6304687499999986</v>
      </c>
      <c r="D208" s="3">
        <v>0</v>
      </c>
      <c r="F208" s="2">
        <v>4.3730664062499969</v>
      </c>
    </row>
    <row r="209" spans="1:6" x14ac:dyDescent="0.2">
      <c r="A209">
        <v>208</v>
      </c>
      <c r="B209" s="1">
        <v>45735.625555555554</v>
      </c>
      <c r="C209" s="2">
        <v>4.3730664062499969</v>
      </c>
      <c r="D209" s="3">
        <v>0</v>
      </c>
      <c r="F209" s="2">
        <v>4.4159667968749972</v>
      </c>
    </row>
    <row r="210" spans="1:6" x14ac:dyDescent="0.2">
      <c r="A210">
        <v>209</v>
      </c>
      <c r="B210" s="1">
        <v>45735.83388888889</v>
      </c>
      <c r="C210" s="2">
        <v>4.4159667968749972</v>
      </c>
      <c r="D210" s="3">
        <v>0</v>
      </c>
      <c r="F210" s="2">
        <v>4.1585644531249955</v>
      </c>
    </row>
    <row r="211" spans="1:6" x14ac:dyDescent="0.2">
      <c r="A211">
        <v>210</v>
      </c>
      <c r="B211" s="1">
        <v>45736.042222222219</v>
      </c>
      <c r="C211" s="2">
        <v>4.1585644531249955</v>
      </c>
      <c r="D211" s="3">
        <v>0</v>
      </c>
      <c r="F211" s="2">
        <v>4.1585644531249955</v>
      </c>
    </row>
    <row r="212" spans="1:6" x14ac:dyDescent="0.2">
      <c r="A212">
        <v>211</v>
      </c>
      <c r="B212" s="1">
        <v>45736.250555555554</v>
      </c>
      <c r="C212" s="2">
        <v>4.1585644531249955</v>
      </c>
      <c r="D212" s="3">
        <v>0</v>
      </c>
      <c r="F212" s="2">
        <v>4.1585644531249955</v>
      </c>
    </row>
    <row r="213" spans="1:6" x14ac:dyDescent="0.2">
      <c r="A213">
        <v>212</v>
      </c>
      <c r="B213" s="1">
        <v>45736.45888888889</v>
      </c>
      <c r="C213" s="2">
        <v>4.1585644531249955</v>
      </c>
      <c r="D213" s="3">
        <v>0</v>
      </c>
      <c r="F213" s="2">
        <v>4.2872656249999963</v>
      </c>
    </row>
    <row r="214" spans="1:6" x14ac:dyDescent="0.2">
      <c r="A214">
        <v>213</v>
      </c>
      <c r="B214" s="1">
        <v>45736.667222222219</v>
      </c>
      <c r="C214" s="2">
        <v>4.2872656249999963</v>
      </c>
      <c r="D214" s="3">
        <v>0</v>
      </c>
      <c r="F214" s="2">
        <v>4.5017675781249977</v>
      </c>
    </row>
    <row r="215" spans="1:6" x14ac:dyDescent="0.2">
      <c r="A215">
        <v>214</v>
      </c>
      <c r="B215" s="1">
        <v>45736.875555555554</v>
      </c>
      <c r="C215" s="2">
        <v>4.5017675781249977</v>
      </c>
      <c r="D215" s="3">
        <v>0</v>
      </c>
      <c r="F215" s="2">
        <v>4.6304687499999986</v>
      </c>
    </row>
    <row r="216" spans="1:6" x14ac:dyDescent="0.2">
      <c r="A216">
        <v>215</v>
      </c>
      <c r="B216" s="1">
        <v>45737.08388888889</v>
      </c>
      <c r="C216" s="2">
        <v>4.6304687499999986</v>
      </c>
      <c r="D216" s="3">
        <v>0</v>
      </c>
      <c r="F216" s="2">
        <v>4.6733691406249989</v>
      </c>
    </row>
    <row r="217" spans="1:6" x14ac:dyDescent="0.2">
      <c r="A217">
        <v>216</v>
      </c>
      <c r="B217" s="1">
        <v>45737.292222222219</v>
      </c>
      <c r="C217" s="2">
        <v>4.6733691406249989</v>
      </c>
      <c r="D217" s="3">
        <v>0</v>
      </c>
      <c r="F217" s="2">
        <v>4.7162695312499991</v>
      </c>
    </row>
    <row r="218" spans="1:6" x14ac:dyDescent="0.2">
      <c r="A218">
        <v>217</v>
      </c>
      <c r="B218" s="1">
        <v>45737.500555555554</v>
      </c>
      <c r="C218" s="2">
        <v>4.7162695312499991</v>
      </c>
      <c r="D218" s="3">
        <v>0</v>
      </c>
      <c r="F218" s="2">
        <v>4.5017675781249977</v>
      </c>
    </row>
    <row r="219" spans="1:6" x14ac:dyDescent="0.2">
      <c r="A219">
        <v>218</v>
      </c>
      <c r="B219" s="1">
        <v>45737.70888888889</v>
      </c>
      <c r="C219" s="2">
        <v>4.5017675781249977</v>
      </c>
      <c r="D219" s="3">
        <v>0</v>
      </c>
      <c r="F219" s="2">
        <v>4.244365234374996</v>
      </c>
    </row>
    <row r="220" spans="1:6" x14ac:dyDescent="0.2">
      <c r="A220">
        <v>219</v>
      </c>
      <c r="B220" s="1">
        <v>45737.917222222219</v>
      </c>
      <c r="C220" s="2">
        <v>4.244365234374996</v>
      </c>
      <c r="D220" s="3">
        <v>0</v>
      </c>
      <c r="F220" s="2">
        <v>4.1156640624999952</v>
      </c>
    </row>
    <row r="221" spans="1:6" x14ac:dyDescent="0.2">
      <c r="A221">
        <v>220</v>
      </c>
      <c r="B221" s="1">
        <v>45738.125555555554</v>
      </c>
      <c r="C221" s="2">
        <v>4.1156640624999952</v>
      </c>
      <c r="D221" s="3">
        <v>0</v>
      </c>
      <c r="F221" s="2">
        <v>4.1156640624999952</v>
      </c>
    </row>
    <row r="222" spans="1:6" x14ac:dyDescent="0.2">
      <c r="A222">
        <v>221</v>
      </c>
      <c r="B222" s="1">
        <v>45738.33388888889</v>
      </c>
      <c r="C222" s="2">
        <v>4.1156640624999952</v>
      </c>
      <c r="D222" s="3">
        <v>0</v>
      </c>
      <c r="F222" s="2">
        <v>4.1156640624999952</v>
      </c>
    </row>
    <row r="223" spans="1:6" x14ac:dyDescent="0.2">
      <c r="A223">
        <v>222</v>
      </c>
      <c r="B223" s="1">
        <v>45738.542222222219</v>
      </c>
      <c r="C223" s="2">
        <v>4.1156640624999952</v>
      </c>
      <c r="D223" s="3">
        <v>0</v>
      </c>
      <c r="F223" s="2">
        <v>4.4159667968749972</v>
      </c>
    </row>
    <row r="224" spans="1:6" x14ac:dyDescent="0.2">
      <c r="A224">
        <v>223</v>
      </c>
      <c r="B224" s="1">
        <v>45738.750555555554</v>
      </c>
      <c r="C224" s="2">
        <v>4.4159667968749972</v>
      </c>
      <c r="D224" s="3">
        <v>0</v>
      </c>
      <c r="F224" s="2">
        <v>2.1851464843749966</v>
      </c>
    </row>
    <row r="225" spans="1:6" x14ac:dyDescent="0.2">
      <c r="A225">
        <v>224</v>
      </c>
      <c r="B225" s="1">
        <v>45738.95888888889</v>
      </c>
      <c r="C225" s="2">
        <v>2.1851464843749966</v>
      </c>
      <c r="D225" s="3">
        <v>0</v>
      </c>
      <c r="F225" s="2">
        <v>1.6703417968750003</v>
      </c>
    </row>
    <row r="226" spans="1:6" x14ac:dyDescent="0.2">
      <c r="A226">
        <v>225</v>
      </c>
      <c r="B226" s="1">
        <v>45739.167222222219</v>
      </c>
      <c r="C226" s="2">
        <v>1.6703417968750003</v>
      </c>
      <c r="D226" s="3">
        <v>0</v>
      </c>
      <c r="F226" s="2">
        <v>0.46913085937499943</v>
      </c>
    </row>
    <row r="227" spans="1:6" x14ac:dyDescent="0.2">
      <c r="A227">
        <v>226</v>
      </c>
      <c r="B227" s="1">
        <v>45739.375555555554</v>
      </c>
      <c r="C227" s="2">
        <v>0.46913085937499943</v>
      </c>
      <c r="D227" s="3">
        <v>0</v>
      </c>
      <c r="F227" s="2">
        <v>1.2842382812499977</v>
      </c>
    </row>
    <row r="228" spans="1:6" x14ac:dyDescent="0.2">
      <c r="A228">
        <v>227</v>
      </c>
      <c r="B228" s="1">
        <v>45739.58388888889</v>
      </c>
      <c r="C228" s="2">
        <v>1.2842382812499977</v>
      </c>
      <c r="D228" s="3">
        <v>0</v>
      </c>
      <c r="F228" s="2">
        <v>1.026835937499996</v>
      </c>
    </row>
    <row r="229" spans="1:6" x14ac:dyDescent="0.2">
      <c r="A229">
        <v>228</v>
      </c>
      <c r="B229" s="1">
        <v>45739.792222222219</v>
      </c>
      <c r="C229" s="2">
        <v>1.026835937499996</v>
      </c>
      <c r="D229" s="3">
        <v>0</v>
      </c>
      <c r="F229" s="2">
        <v>2.0135449218749955</v>
      </c>
    </row>
    <row r="230" spans="1:6" x14ac:dyDescent="0.2">
      <c r="A230">
        <v>229</v>
      </c>
      <c r="B230" s="1">
        <v>45740.000555555554</v>
      </c>
      <c r="C230" s="2">
        <v>2.0135449218749955</v>
      </c>
      <c r="D230" s="3">
        <v>0</v>
      </c>
      <c r="F230" s="2">
        <v>3.2147558593749963</v>
      </c>
    </row>
    <row r="231" spans="1:6" x14ac:dyDescent="0.2">
      <c r="A231">
        <v>230</v>
      </c>
      <c r="B231" s="1">
        <v>45740.20888888889</v>
      </c>
      <c r="C231" s="2">
        <v>3.2147558593749963</v>
      </c>
      <c r="D231" s="3">
        <v>0</v>
      </c>
      <c r="F231" s="2">
        <v>3.5150585937499983</v>
      </c>
    </row>
    <row r="232" spans="1:6" x14ac:dyDescent="0.2">
      <c r="A232">
        <v>231</v>
      </c>
      <c r="B232" s="1">
        <v>45740.417222222219</v>
      </c>
      <c r="C232" s="2">
        <v>3.5150585937499983</v>
      </c>
      <c r="D232" s="3">
        <v>0.42</v>
      </c>
      <c r="F232" s="2">
        <v>3.6008593749999989</v>
      </c>
    </row>
    <row r="233" spans="1:6" x14ac:dyDescent="0.2">
      <c r="A233">
        <v>232</v>
      </c>
      <c r="B233" s="1">
        <v>45740.625555555554</v>
      </c>
      <c r="C233" s="2">
        <v>3.6008593749999989</v>
      </c>
      <c r="D233" s="3">
        <v>0</v>
      </c>
      <c r="F233" s="2">
        <v>3.6866601562499994</v>
      </c>
    </row>
    <row r="234" spans="1:6" x14ac:dyDescent="0.2">
      <c r="A234">
        <v>233</v>
      </c>
      <c r="B234" s="1">
        <v>45740.83388888889</v>
      </c>
      <c r="C234" s="2">
        <v>3.6866601562499994</v>
      </c>
      <c r="D234" s="3">
        <v>0</v>
      </c>
      <c r="F234" s="2">
        <v>3.6866601562499994</v>
      </c>
    </row>
    <row r="235" spans="1:6" x14ac:dyDescent="0.2">
      <c r="A235">
        <v>234</v>
      </c>
      <c r="B235" s="1">
        <v>45741.042222222219</v>
      </c>
      <c r="C235" s="2">
        <v>3.6866601562499994</v>
      </c>
      <c r="D235" s="3">
        <v>0</v>
      </c>
      <c r="F235" s="2">
        <v>3.8582617187500006</v>
      </c>
    </row>
    <row r="236" spans="1:6" x14ac:dyDescent="0.2">
      <c r="A236">
        <v>235</v>
      </c>
      <c r="B236" s="1">
        <v>45741.250555555554</v>
      </c>
      <c r="C236" s="2">
        <v>3.8582617187500006</v>
      </c>
      <c r="D236" s="3">
        <v>0</v>
      </c>
      <c r="F236" s="2">
        <v>3.8153613281249998</v>
      </c>
    </row>
    <row r="237" spans="1:6" x14ac:dyDescent="0.2">
      <c r="A237">
        <v>236</v>
      </c>
      <c r="B237" s="1">
        <v>45741.45888888889</v>
      </c>
      <c r="C237" s="2">
        <v>3.8153613281249998</v>
      </c>
      <c r="D237" s="3">
        <v>0</v>
      </c>
      <c r="F237" s="2">
        <v>3.8153613281249998</v>
      </c>
    </row>
    <row r="238" spans="1:6" x14ac:dyDescent="0.2">
      <c r="A238">
        <v>237</v>
      </c>
      <c r="B238" s="1">
        <v>45741.667222222219</v>
      </c>
      <c r="C238" s="2">
        <v>3.8153613281249998</v>
      </c>
      <c r="D238" s="3">
        <v>0</v>
      </c>
      <c r="F238" s="2">
        <v>3.9440625000000011</v>
      </c>
    </row>
    <row r="239" spans="1:6" x14ac:dyDescent="0.2">
      <c r="A239">
        <v>238</v>
      </c>
      <c r="B239" s="1">
        <v>45741.875555555554</v>
      </c>
      <c r="C239" s="2">
        <v>3.9440625000000011</v>
      </c>
      <c r="D239" s="3">
        <v>0</v>
      </c>
      <c r="F239" s="2">
        <v>4.1156640624999952</v>
      </c>
    </row>
    <row r="240" spans="1:6" x14ac:dyDescent="0.2">
      <c r="A240">
        <v>239</v>
      </c>
      <c r="B240" s="1">
        <v>45742.08388888889</v>
      </c>
      <c r="C240" s="2">
        <v>4.1156640624999952</v>
      </c>
      <c r="D240" s="3">
        <v>0</v>
      </c>
      <c r="F240" s="2">
        <v>4.1156640624999952</v>
      </c>
    </row>
    <row r="241" spans="1:6" x14ac:dyDescent="0.2">
      <c r="A241">
        <v>240</v>
      </c>
      <c r="B241" s="1">
        <v>45742.292222222219</v>
      </c>
      <c r="C241" s="2">
        <v>4.1156640624999952</v>
      </c>
      <c r="D241" s="3">
        <v>0</v>
      </c>
      <c r="F241" s="2">
        <v>4.1585644531249955</v>
      </c>
    </row>
    <row r="242" spans="1:6" x14ac:dyDescent="0.2">
      <c r="A242">
        <v>241</v>
      </c>
      <c r="B242" s="1">
        <v>45742.500555555554</v>
      </c>
      <c r="C242" s="2">
        <v>4.1585644531249955</v>
      </c>
      <c r="D242" s="3">
        <v>0</v>
      </c>
      <c r="F242" s="2">
        <v>4.2014648437499957</v>
      </c>
    </row>
    <row r="243" spans="1:6" x14ac:dyDescent="0.2">
      <c r="A243">
        <v>242</v>
      </c>
      <c r="B243" s="1">
        <v>45742.70888888889</v>
      </c>
      <c r="C243" s="2">
        <v>4.2014648437499957</v>
      </c>
      <c r="D243" s="3">
        <v>0</v>
      </c>
      <c r="F243" s="2">
        <v>4.4588671874999974</v>
      </c>
    </row>
    <row r="244" spans="1:6" x14ac:dyDescent="0.2">
      <c r="A244">
        <v>243</v>
      </c>
      <c r="B244" s="1">
        <v>45742.917222222219</v>
      </c>
      <c r="C244" s="2">
        <v>4.4588671874999974</v>
      </c>
      <c r="D244" s="3">
        <v>0</v>
      </c>
      <c r="F244" s="2">
        <v>4.4159667968749972</v>
      </c>
    </row>
    <row r="245" spans="1:6" x14ac:dyDescent="0.2">
      <c r="A245">
        <v>244</v>
      </c>
      <c r="B245" s="1">
        <v>45743.125555555554</v>
      </c>
      <c r="C245" s="2">
        <v>4.4159667968749972</v>
      </c>
      <c r="D245" s="3">
        <v>0</v>
      </c>
      <c r="F245" s="2">
        <v>4.3730664062499969</v>
      </c>
    </row>
    <row r="246" spans="1:6" x14ac:dyDescent="0.2">
      <c r="A246">
        <v>245</v>
      </c>
      <c r="B246" s="1">
        <v>45743.33388888889</v>
      </c>
      <c r="C246" s="2">
        <v>4.3730664062499969</v>
      </c>
      <c r="D246" s="3">
        <v>0</v>
      </c>
      <c r="F246" s="2">
        <v>4.2872656249999963</v>
      </c>
    </row>
    <row r="247" spans="1:6" x14ac:dyDescent="0.2">
      <c r="A247">
        <v>246</v>
      </c>
      <c r="B247" s="1">
        <v>45743.542222222219</v>
      </c>
      <c r="C247" s="2">
        <v>4.2872656249999963</v>
      </c>
      <c r="D247" s="3">
        <v>0</v>
      </c>
      <c r="F247" s="2">
        <v>4.4159667968749972</v>
      </c>
    </row>
    <row r="248" spans="1:6" x14ac:dyDescent="0.2">
      <c r="A248">
        <v>247</v>
      </c>
      <c r="B248" s="1">
        <v>45743.750555555554</v>
      </c>
      <c r="C248" s="2">
        <v>4.4159667968749972</v>
      </c>
      <c r="D248" s="3">
        <v>0</v>
      </c>
      <c r="F248" s="2">
        <v>2.6141503906249994</v>
      </c>
    </row>
    <row r="249" spans="1:6" x14ac:dyDescent="0.2">
      <c r="A249">
        <v>248</v>
      </c>
      <c r="B249" s="1">
        <v>45743.95888888889</v>
      </c>
      <c r="C249" s="2">
        <v>2.6141503906249994</v>
      </c>
      <c r="D249" s="3">
        <v>0</v>
      </c>
      <c r="F249" s="2">
        <v>1.3700390624999983</v>
      </c>
    </row>
    <row r="250" spans="1:6" x14ac:dyDescent="0.2">
      <c r="A250">
        <v>249</v>
      </c>
      <c r="B250" s="1">
        <v>45744.167222222219</v>
      </c>
      <c r="C250" s="2">
        <v>1.3700390624999983</v>
      </c>
      <c r="D250" s="3">
        <v>0</v>
      </c>
      <c r="F250" s="2">
        <v>0.76943359375000142</v>
      </c>
    </row>
    <row r="251" spans="1:6" x14ac:dyDescent="0.2">
      <c r="A251">
        <v>250</v>
      </c>
      <c r="B251" s="1">
        <v>45744.375555555554</v>
      </c>
      <c r="C251" s="2">
        <v>0.76943359375000142</v>
      </c>
      <c r="D251" s="3">
        <v>0</v>
      </c>
      <c r="F251" s="2">
        <v>1.2842382812499977</v>
      </c>
    </row>
    <row r="252" spans="1:6" x14ac:dyDescent="0.2">
      <c r="A252">
        <v>251</v>
      </c>
      <c r="B252" s="1">
        <v>45744.58388888889</v>
      </c>
      <c r="C252" s="2">
        <v>1.2842382812499977</v>
      </c>
      <c r="D252" s="3">
        <v>0</v>
      </c>
      <c r="F252" s="2">
        <v>1.62744140625</v>
      </c>
    </row>
    <row r="253" spans="1:6" x14ac:dyDescent="0.2">
      <c r="A253">
        <v>252</v>
      </c>
      <c r="B253" s="1">
        <v>45744.792222222219</v>
      </c>
      <c r="C253" s="2">
        <v>1.62744140625</v>
      </c>
      <c r="D253" s="3">
        <v>0</v>
      </c>
      <c r="F253" s="2">
        <v>0.94103515624999545</v>
      </c>
    </row>
    <row r="254" spans="1:6" x14ac:dyDescent="0.2">
      <c r="A254">
        <v>253</v>
      </c>
      <c r="B254" s="1">
        <v>45745.000555555554</v>
      </c>
      <c r="C254" s="2">
        <v>0.94103515624999545</v>
      </c>
      <c r="D254" s="3">
        <v>0</v>
      </c>
      <c r="F254" s="2">
        <v>1.1984374999999972</v>
      </c>
    </row>
    <row r="255" spans="1:6" x14ac:dyDescent="0.2">
      <c r="A255">
        <v>254</v>
      </c>
      <c r="B255" s="1">
        <v>45745.20888888889</v>
      </c>
      <c r="C255" s="2">
        <v>1.1984374999999972</v>
      </c>
      <c r="D255" s="3">
        <v>0</v>
      </c>
      <c r="F255" s="2">
        <v>0.72653320312500114</v>
      </c>
    </row>
    <row r="256" spans="1:6" x14ac:dyDescent="0.2">
      <c r="A256">
        <v>255</v>
      </c>
      <c r="B256" s="1">
        <v>45745.417222222219</v>
      </c>
      <c r="C256" s="2">
        <v>0.72653320312500114</v>
      </c>
      <c r="D256" s="3">
        <v>0</v>
      </c>
      <c r="F256" s="2">
        <v>1.1984374999999972</v>
      </c>
    </row>
    <row r="257" spans="1:6" x14ac:dyDescent="0.2">
      <c r="A257">
        <v>256</v>
      </c>
      <c r="B257" s="1">
        <v>45745.625555555554</v>
      </c>
      <c r="C257" s="2">
        <v>1.1984374999999972</v>
      </c>
      <c r="D257" s="3">
        <v>0</v>
      </c>
      <c r="F257" s="2">
        <v>0.64073242187500057</v>
      </c>
    </row>
    <row r="258" spans="1:6" x14ac:dyDescent="0.2">
      <c r="A258">
        <v>257</v>
      </c>
      <c r="B258" s="1">
        <v>45745.83388888889</v>
      </c>
      <c r="C258" s="2">
        <v>0.64073242187500057</v>
      </c>
      <c r="D258" s="3">
        <v>0</v>
      </c>
      <c r="F258" s="2">
        <v>1.1126367187499966</v>
      </c>
    </row>
    <row r="259" spans="1:6" x14ac:dyDescent="0.2">
      <c r="A259">
        <v>258</v>
      </c>
      <c r="B259" s="1">
        <v>45746.042222222219</v>
      </c>
      <c r="C259" s="2">
        <v>1.1126367187499966</v>
      </c>
      <c r="D259" s="3">
        <v>0</v>
      </c>
      <c r="F259" s="2">
        <v>1.62744140625</v>
      </c>
    </row>
    <row r="260" spans="1:6" x14ac:dyDescent="0.2">
      <c r="A260">
        <v>259</v>
      </c>
      <c r="B260" s="1">
        <v>45746.250555555554</v>
      </c>
      <c r="C260" s="2">
        <v>1.62744140625</v>
      </c>
      <c r="D260" s="3">
        <v>0</v>
      </c>
      <c r="F260" s="2">
        <v>0.94103515624999545</v>
      </c>
    </row>
    <row r="261" spans="1:6" x14ac:dyDescent="0.2">
      <c r="A261">
        <v>260</v>
      </c>
      <c r="B261" s="1">
        <v>45746.45888888889</v>
      </c>
      <c r="C261" s="2">
        <v>0.94103515624999545</v>
      </c>
      <c r="D261" s="3">
        <v>0</v>
      </c>
      <c r="F261" s="2">
        <v>0.89813476562499517</v>
      </c>
    </row>
    <row r="262" spans="1:6" x14ac:dyDescent="0.2">
      <c r="A262">
        <v>261</v>
      </c>
      <c r="B262" s="1">
        <v>45746.667222222219</v>
      </c>
      <c r="C262" s="2">
        <v>0.89813476562499517</v>
      </c>
      <c r="D262" s="3">
        <v>0</v>
      </c>
      <c r="F262" s="2">
        <v>2.8286523437500009</v>
      </c>
    </row>
    <row r="263" spans="1:6" x14ac:dyDescent="0.2">
      <c r="A263">
        <v>262</v>
      </c>
      <c r="B263" s="1">
        <v>45746.875555555554</v>
      </c>
      <c r="C263" s="2">
        <v>2.8286523437500009</v>
      </c>
      <c r="D263" s="3">
        <v>0</v>
      </c>
      <c r="F263" s="2">
        <v>3.0431542968749952</v>
      </c>
    </row>
    <row r="264" spans="1:6" x14ac:dyDescent="0.2">
      <c r="A264">
        <v>263</v>
      </c>
      <c r="B264" s="1">
        <v>45747.08388888889</v>
      </c>
      <c r="C264" s="2">
        <v>3.0431542968749952</v>
      </c>
      <c r="D264" s="3">
        <v>0</v>
      </c>
      <c r="F264" s="2">
        <v>3.2147558593749963</v>
      </c>
    </row>
    <row r="265" spans="1:6" x14ac:dyDescent="0.2">
      <c r="A265">
        <v>264</v>
      </c>
      <c r="B265" s="1">
        <v>45747.292222222219</v>
      </c>
      <c r="C265" s="2">
        <v>3.2147558593749963</v>
      </c>
      <c r="D265" s="3">
        <v>0</v>
      </c>
      <c r="F265" s="2">
        <v>3.2576562499999966</v>
      </c>
    </row>
    <row r="266" spans="1:6" x14ac:dyDescent="0.2">
      <c r="A266">
        <v>265</v>
      </c>
      <c r="B266" s="1">
        <v>45747.500555555554</v>
      </c>
      <c r="C266" s="2">
        <v>3.2576562499999966</v>
      </c>
      <c r="D266" s="3">
        <v>0</v>
      </c>
      <c r="F266" s="2">
        <v>3.4292578124999977</v>
      </c>
    </row>
    <row r="267" spans="1:6" x14ac:dyDescent="0.2">
      <c r="A267">
        <v>266</v>
      </c>
      <c r="B267" s="1">
        <v>45747.70888888889</v>
      </c>
      <c r="C267" s="2">
        <v>3.4292578124999977</v>
      </c>
      <c r="D267" s="3">
        <v>0</v>
      </c>
      <c r="F267" s="2">
        <v>3.4292578124999977</v>
      </c>
    </row>
    <row r="268" spans="1:6" x14ac:dyDescent="0.2">
      <c r="A268">
        <v>267</v>
      </c>
      <c r="B268" s="1">
        <v>45747.917222222219</v>
      </c>
      <c r="C268" s="2">
        <v>3.4292578124999977</v>
      </c>
      <c r="D268" s="3">
        <v>0</v>
      </c>
      <c r="F268" s="2">
        <v>3.5150585937499983</v>
      </c>
    </row>
    <row r="269" spans="1:6" x14ac:dyDescent="0.2">
      <c r="A269">
        <v>268</v>
      </c>
      <c r="B269" s="1">
        <v>45748.125555555554</v>
      </c>
      <c r="C269" s="2">
        <v>3.5150585937499983</v>
      </c>
      <c r="D269" s="3">
        <v>0</v>
      </c>
      <c r="F269" s="2">
        <v>3.6437597656249991</v>
      </c>
    </row>
    <row r="270" spans="1:6" x14ac:dyDescent="0.2">
      <c r="A270">
        <v>269</v>
      </c>
      <c r="B270" s="1">
        <v>45748.33388888889</v>
      </c>
      <c r="C270" s="2">
        <v>3.6437597656249991</v>
      </c>
      <c r="D270" s="3">
        <v>0</v>
      </c>
      <c r="F270" s="2">
        <v>3.5579589843749986</v>
      </c>
    </row>
    <row r="271" spans="1:6" x14ac:dyDescent="0.2">
      <c r="A271">
        <v>270</v>
      </c>
      <c r="B271" s="1">
        <v>45748.542222222219</v>
      </c>
      <c r="C271" s="2">
        <v>3.5579589843749986</v>
      </c>
      <c r="D271" s="3">
        <v>0</v>
      </c>
      <c r="F271" s="2">
        <v>3.4292578124999977</v>
      </c>
    </row>
    <row r="272" spans="1:6" x14ac:dyDescent="0.2">
      <c r="A272">
        <v>271</v>
      </c>
      <c r="B272" s="1">
        <v>45748.750555555554</v>
      </c>
      <c r="C272" s="2">
        <v>3.4292578124999977</v>
      </c>
      <c r="D272" s="3">
        <v>0</v>
      </c>
      <c r="F272" s="2">
        <v>1.7132421875000006</v>
      </c>
    </row>
    <row r="273" spans="1:6" x14ac:dyDescent="0.2">
      <c r="A273">
        <v>272</v>
      </c>
      <c r="B273" s="1">
        <v>45748.95888888889</v>
      </c>
      <c r="C273" s="2">
        <v>1.7132421875000006</v>
      </c>
      <c r="D273" s="3">
        <v>0</v>
      </c>
      <c r="F273" s="2">
        <v>1.1126367187499966</v>
      </c>
    </row>
    <row r="274" spans="1:6" x14ac:dyDescent="0.2">
      <c r="A274">
        <v>273</v>
      </c>
      <c r="B274" s="1">
        <v>45749.167222222219</v>
      </c>
      <c r="C274" s="2">
        <v>1.1126367187499966</v>
      </c>
      <c r="D274" s="3">
        <v>0</v>
      </c>
      <c r="F274" s="2">
        <v>0.12592773437499716</v>
      </c>
    </row>
    <row r="275" spans="1:6" x14ac:dyDescent="0.2">
      <c r="A275">
        <v>274</v>
      </c>
      <c r="B275" s="1">
        <v>45749.375555555554</v>
      </c>
      <c r="C275" s="2">
        <v>0.12592773437499716</v>
      </c>
      <c r="D275" s="3">
        <v>0</v>
      </c>
      <c r="F275" s="2">
        <v>0.89813476562499517</v>
      </c>
    </row>
    <row r="276" spans="1:6" x14ac:dyDescent="0.2">
      <c r="A276">
        <v>275</v>
      </c>
      <c r="B276" s="1">
        <v>45749.58388888889</v>
      </c>
      <c r="C276" s="2">
        <v>0.89813476562499517</v>
      </c>
      <c r="D276" s="3">
        <v>0</v>
      </c>
      <c r="F276" s="2">
        <v>1.2842382812499977</v>
      </c>
    </row>
    <row r="277" spans="1:6" x14ac:dyDescent="0.2">
      <c r="A277">
        <v>276</v>
      </c>
      <c r="B277" s="1">
        <v>45749.792222222219</v>
      </c>
      <c r="C277" s="2">
        <v>1.2842382812499977</v>
      </c>
      <c r="D277" s="3">
        <v>0</v>
      </c>
      <c r="F277" s="2">
        <v>1.7990429687500011</v>
      </c>
    </row>
    <row r="278" spans="1:6" x14ac:dyDescent="0.2">
      <c r="A278">
        <v>277</v>
      </c>
      <c r="B278" s="1">
        <v>45750.000555555554</v>
      </c>
      <c r="C278" s="2">
        <v>1.7990429687500011</v>
      </c>
      <c r="D278" s="3">
        <v>0</v>
      </c>
      <c r="F278" s="2">
        <v>2.699951171875</v>
      </c>
    </row>
    <row r="279" spans="1:6" x14ac:dyDescent="0.2">
      <c r="A279">
        <v>278</v>
      </c>
      <c r="B279" s="1">
        <v>45750.20888888889</v>
      </c>
      <c r="C279" s="2">
        <v>2.699951171875</v>
      </c>
      <c r="D279" s="3">
        <v>0</v>
      </c>
      <c r="F279" s="2">
        <v>3.1289550781249957</v>
      </c>
    </row>
    <row r="280" spans="1:6" x14ac:dyDescent="0.2">
      <c r="A280">
        <v>279</v>
      </c>
      <c r="B280" s="1">
        <v>45750.417222222219</v>
      </c>
      <c r="C280" s="2">
        <v>3.1289550781249957</v>
      </c>
      <c r="D280" s="3">
        <v>0</v>
      </c>
      <c r="F280" s="2">
        <v>3.3434570312499972</v>
      </c>
    </row>
    <row r="281" spans="1:6" x14ac:dyDescent="0.2">
      <c r="A281">
        <v>280</v>
      </c>
      <c r="B281" s="1">
        <v>45750.625555555554</v>
      </c>
      <c r="C281" s="2">
        <v>3.3434570312499972</v>
      </c>
      <c r="D281" s="3">
        <v>0</v>
      </c>
      <c r="F281" s="2">
        <v>3.472158203124998</v>
      </c>
    </row>
    <row r="282" spans="1:6" x14ac:dyDescent="0.2">
      <c r="A282">
        <v>281</v>
      </c>
      <c r="B282" s="1">
        <v>45750.83388888889</v>
      </c>
      <c r="C282" s="2">
        <v>3.472158203124998</v>
      </c>
      <c r="D282" s="3">
        <v>0</v>
      </c>
      <c r="F282" s="2">
        <v>3.5150585937499983</v>
      </c>
    </row>
    <row r="283" spans="1:6" x14ac:dyDescent="0.2">
      <c r="A283">
        <v>282</v>
      </c>
      <c r="B283" s="1">
        <v>45751.042222222219</v>
      </c>
      <c r="C283" s="2">
        <v>3.5150585937499983</v>
      </c>
      <c r="D283" s="3">
        <v>0</v>
      </c>
      <c r="F283" s="2">
        <v>3.6008593749999989</v>
      </c>
    </row>
    <row r="284" spans="1:6" x14ac:dyDescent="0.2">
      <c r="A284">
        <v>283</v>
      </c>
      <c r="B284" s="1">
        <v>45751.250555555554</v>
      </c>
      <c r="C284" s="2">
        <v>3.6008593749999989</v>
      </c>
      <c r="D284" s="3">
        <v>0</v>
      </c>
      <c r="F284" s="2">
        <v>3.7724609375</v>
      </c>
    </row>
    <row r="285" spans="1:6" x14ac:dyDescent="0.2">
      <c r="A285">
        <v>284</v>
      </c>
      <c r="B285" s="1">
        <v>45751.45888888889</v>
      </c>
      <c r="C285" s="2">
        <v>3.7724609375</v>
      </c>
      <c r="D285" s="3">
        <v>0</v>
      </c>
      <c r="F285" s="2">
        <v>4.8020703124999997</v>
      </c>
    </row>
    <row r="286" spans="1:6" x14ac:dyDescent="0.2">
      <c r="A286">
        <v>285</v>
      </c>
      <c r="B286" s="1">
        <v>45751.667222222219</v>
      </c>
      <c r="C286" s="2">
        <v>4.8020703124999997</v>
      </c>
      <c r="D286" s="3">
        <v>0</v>
      </c>
      <c r="F286" s="2">
        <v>3.9440625000000011</v>
      </c>
    </row>
    <row r="287" spans="1:6" x14ac:dyDescent="0.2">
      <c r="A287">
        <v>286</v>
      </c>
      <c r="B287" s="1">
        <v>45751.875555555554</v>
      </c>
      <c r="C287" s="2">
        <v>3.9440625000000011</v>
      </c>
      <c r="D287" s="3">
        <v>0</v>
      </c>
      <c r="F287" s="2">
        <v>3.9440625000000011</v>
      </c>
    </row>
    <row r="288" spans="1:6" x14ac:dyDescent="0.2">
      <c r="A288">
        <v>287</v>
      </c>
      <c r="B288" s="1">
        <v>45752.08388888889</v>
      </c>
      <c r="C288" s="2">
        <v>3.9440625000000011</v>
      </c>
      <c r="D288" s="3">
        <v>0</v>
      </c>
      <c r="F288" s="2">
        <v>3.8153613281249998</v>
      </c>
    </row>
    <row r="289" spans="1:6" x14ac:dyDescent="0.2">
      <c r="A289">
        <v>288</v>
      </c>
      <c r="B289" s="1">
        <v>45752.292222222219</v>
      </c>
      <c r="C289" s="2">
        <v>3.8153613281249998</v>
      </c>
      <c r="D289" s="3">
        <v>0</v>
      </c>
      <c r="F289" s="2">
        <v>3.8582617187500006</v>
      </c>
    </row>
    <row r="290" spans="1:6" x14ac:dyDescent="0.2">
      <c r="A290">
        <v>289</v>
      </c>
      <c r="B290" s="1">
        <v>45752.500555555554</v>
      </c>
      <c r="C290" s="2">
        <v>3.8582617187500006</v>
      </c>
      <c r="D290" s="3">
        <v>0.42</v>
      </c>
      <c r="F290" s="2">
        <v>3.8582617187500006</v>
      </c>
    </row>
    <row r="291" spans="1:6" x14ac:dyDescent="0.2">
      <c r="A291">
        <v>290</v>
      </c>
      <c r="B291" s="1">
        <v>45752.70888888889</v>
      </c>
      <c r="C291" s="2">
        <v>3.8582617187500006</v>
      </c>
      <c r="D291" s="3">
        <v>0</v>
      </c>
      <c r="F291" s="2">
        <v>3.9011621093750009</v>
      </c>
    </row>
    <row r="292" spans="1:6" x14ac:dyDescent="0.2">
      <c r="A292">
        <v>291</v>
      </c>
      <c r="B292" s="1">
        <v>45752.917222222219</v>
      </c>
      <c r="C292" s="2">
        <v>3.9011621093750009</v>
      </c>
      <c r="D292" s="3">
        <v>0</v>
      </c>
      <c r="F292" s="2">
        <v>3.9440625000000011</v>
      </c>
    </row>
    <row r="293" spans="1:6" x14ac:dyDescent="0.2">
      <c r="A293">
        <v>292</v>
      </c>
      <c r="B293" s="1">
        <v>45753.125555555554</v>
      </c>
      <c r="C293" s="2">
        <v>3.9440625000000011</v>
      </c>
      <c r="D293" s="3">
        <v>0</v>
      </c>
      <c r="F293" s="2">
        <v>4.0298632812500017</v>
      </c>
    </row>
    <row r="294" spans="1:6" x14ac:dyDescent="0.2">
      <c r="A294">
        <v>293</v>
      </c>
      <c r="B294" s="1">
        <v>45753.33388888889</v>
      </c>
      <c r="C294" s="2">
        <v>4.0298632812500017</v>
      </c>
      <c r="D294" s="3">
        <v>0</v>
      </c>
      <c r="F294" s="2">
        <v>4.1156640624999952</v>
      </c>
    </row>
    <row r="295" spans="1:6" x14ac:dyDescent="0.2">
      <c r="A295">
        <v>294</v>
      </c>
      <c r="B295" s="1">
        <v>45753.542222222219</v>
      </c>
      <c r="C295" s="2">
        <v>4.1156640624999952</v>
      </c>
      <c r="D295" s="3">
        <v>0</v>
      </c>
      <c r="F295" s="2">
        <v>4.0298632812500017</v>
      </c>
    </row>
    <row r="296" spans="1:6" x14ac:dyDescent="0.2">
      <c r="A296">
        <v>295</v>
      </c>
      <c r="B296" s="1">
        <v>45753.750555555554</v>
      </c>
      <c r="C296" s="2">
        <v>4.0298632812500017</v>
      </c>
      <c r="D296" s="3">
        <v>0</v>
      </c>
      <c r="F296" s="2">
        <v>3.8582617187500006</v>
      </c>
    </row>
    <row r="297" spans="1:6" x14ac:dyDescent="0.2">
      <c r="A297">
        <v>296</v>
      </c>
      <c r="B297" s="1">
        <v>45753.95888888889</v>
      </c>
      <c r="C297" s="2">
        <v>3.8582617187500006</v>
      </c>
      <c r="D297" s="3">
        <v>0</v>
      </c>
      <c r="F297" s="2">
        <v>3.8153613281249998</v>
      </c>
    </row>
    <row r="298" spans="1:6" x14ac:dyDescent="0.2">
      <c r="A298">
        <v>297</v>
      </c>
      <c r="B298" s="1">
        <v>45754.167222222219</v>
      </c>
      <c r="C298" s="2">
        <v>3.8153613281249998</v>
      </c>
      <c r="D298" s="3">
        <v>0</v>
      </c>
      <c r="F298" s="2">
        <v>3.7295605468750002</v>
      </c>
    </row>
    <row r="299" spans="1:6" x14ac:dyDescent="0.2">
      <c r="A299">
        <v>298</v>
      </c>
      <c r="B299" s="1">
        <v>45754.375555555554</v>
      </c>
      <c r="C299" s="2">
        <v>3.7295605468750002</v>
      </c>
      <c r="D299" s="3">
        <v>0</v>
      </c>
      <c r="F299" s="2">
        <v>3.6437597656249991</v>
      </c>
    </row>
    <row r="300" spans="1:6" x14ac:dyDescent="0.2">
      <c r="A300">
        <v>299</v>
      </c>
      <c r="B300" s="1">
        <v>45754.58388888889</v>
      </c>
      <c r="C300" s="2">
        <v>3.6437597656249991</v>
      </c>
      <c r="D300" s="3">
        <v>0</v>
      </c>
      <c r="F300" s="2">
        <v>3.6866601562499994</v>
      </c>
    </row>
    <row r="301" spans="1:6" x14ac:dyDescent="0.2">
      <c r="A301">
        <v>300</v>
      </c>
      <c r="B301" s="1">
        <v>45754.792222222219</v>
      </c>
      <c r="C301" s="2">
        <v>3.6866601562499994</v>
      </c>
      <c r="D301" s="3">
        <v>0</v>
      </c>
      <c r="F301" s="2">
        <v>3.8153613281249998</v>
      </c>
    </row>
    <row r="302" spans="1:6" x14ac:dyDescent="0.2">
      <c r="A302">
        <v>301</v>
      </c>
      <c r="B302" s="1">
        <v>45755.000555555554</v>
      </c>
      <c r="C302" s="2">
        <v>3.8153613281249998</v>
      </c>
      <c r="D302" s="3">
        <v>0</v>
      </c>
      <c r="F302" s="2">
        <v>3.8582617187500006</v>
      </c>
    </row>
    <row r="303" spans="1:6" x14ac:dyDescent="0.2">
      <c r="A303">
        <v>302</v>
      </c>
      <c r="B303" s="1">
        <v>45755.20888888889</v>
      </c>
      <c r="C303" s="2">
        <v>3.8582617187500006</v>
      </c>
      <c r="D303" s="3">
        <v>0</v>
      </c>
      <c r="F303" s="2">
        <v>3.9011621093750009</v>
      </c>
    </row>
    <row r="304" spans="1:6" x14ac:dyDescent="0.2">
      <c r="A304">
        <v>303</v>
      </c>
      <c r="B304" s="1">
        <v>45755.417222222219</v>
      </c>
      <c r="C304" s="2">
        <v>3.9011621093750009</v>
      </c>
      <c r="D304" s="3">
        <v>0</v>
      </c>
      <c r="F304" s="2">
        <v>3.8153613281249998</v>
      </c>
    </row>
    <row r="305" spans="1:6" x14ac:dyDescent="0.2">
      <c r="A305">
        <v>304</v>
      </c>
      <c r="B305" s="1">
        <v>45755.625555555554</v>
      </c>
      <c r="C305" s="2">
        <v>3.8153613281249998</v>
      </c>
      <c r="D305" s="3">
        <v>0</v>
      </c>
      <c r="F305" s="2">
        <v>3.9869628906250014</v>
      </c>
    </row>
    <row r="306" spans="1:6" x14ac:dyDescent="0.2">
      <c r="A306">
        <v>305</v>
      </c>
      <c r="B306" s="1">
        <v>45755.83388888889</v>
      </c>
      <c r="C306" s="2">
        <v>3.9869628906250014</v>
      </c>
      <c r="D306" s="3">
        <v>0</v>
      </c>
      <c r="F306" s="2">
        <v>3.6008593749999989</v>
      </c>
    </row>
    <row r="307" spans="1:6" x14ac:dyDescent="0.2">
      <c r="A307">
        <v>306</v>
      </c>
      <c r="B307" s="1">
        <v>45756.042222222219</v>
      </c>
      <c r="C307" s="2">
        <v>3.6008593749999989</v>
      </c>
      <c r="D307" s="3">
        <v>0</v>
      </c>
      <c r="F307" s="2">
        <v>3.8582617187500006</v>
      </c>
    </row>
    <row r="308" spans="1:6" x14ac:dyDescent="0.2">
      <c r="A308">
        <v>307</v>
      </c>
      <c r="B308" s="1">
        <v>45756.250555555554</v>
      </c>
      <c r="C308" s="2">
        <v>3.8582617187500006</v>
      </c>
      <c r="D308" s="3">
        <v>0</v>
      </c>
      <c r="F308" s="2">
        <v>3.2576562499999966</v>
      </c>
    </row>
    <row r="309" spans="1:6" x14ac:dyDescent="0.2">
      <c r="A309">
        <v>308</v>
      </c>
      <c r="B309" s="1">
        <v>45756.45888888889</v>
      </c>
      <c r="C309" s="2">
        <v>3.2576562499999966</v>
      </c>
      <c r="D309" s="3">
        <v>0</v>
      </c>
      <c r="F309" s="3">
        <v>5.6386279296875017</v>
      </c>
    </row>
    <row r="310" spans="1:6" x14ac:dyDescent="0.2">
      <c r="F310" s="3">
        <v>3.708110351562496</v>
      </c>
    </row>
    <row r="311" spans="1:6" x14ac:dyDescent="0.2">
      <c r="F311" s="3">
        <v>4.0298632812500017</v>
      </c>
    </row>
    <row r="312" spans="1:6" x14ac:dyDescent="0.2">
      <c r="F312" s="3">
        <v>4.1371142578124989</v>
      </c>
    </row>
    <row r="313" spans="1:6" x14ac:dyDescent="0.2">
      <c r="F313" s="3">
        <v>4.1800146484374991</v>
      </c>
    </row>
    <row r="314" spans="1:6" x14ac:dyDescent="0.2">
      <c r="F314" s="3">
        <v>4.2336401367187477</v>
      </c>
    </row>
    <row r="315" spans="1:6" x14ac:dyDescent="0.2">
      <c r="F315" s="3">
        <v>4.2872656249999963</v>
      </c>
    </row>
    <row r="316" spans="1:6" x14ac:dyDescent="0.2">
      <c r="F316" s="3">
        <v>4.1907397460937474</v>
      </c>
    </row>
    <row r="317" spans="1:6" x14ac:dyDescent="0.2">
      <c r="F317" s="3">
        <v>4.276540527343748</v>
      </c>
    </row>
    <row r="318" spans="1:6" x14ac:dyDescent="0.2">
      <c r="F318" s="3">
        <v>4.2872656249999963</v>
      </c>
    </row>
    <row r="319" spans="1:6" x14ac:dyDescent="0.2">
      <c r="F319" s="3">
        <v>4.2336401367187477</v>
      </c>
    </row>
    <row r="320" spans="1:6" x14ac:dyDescent="0.2">
      <c r="F320" s="3">
        <v>4.1371142578124989</v>
      </c>
    </row>
    <row r="321" spans="6:6" x14ac:dyDescent="0.2">
      <c r="F321" s="3">
        <v>3.6652099609374957</v>
      </c>
    </row>
    <row r="322" spans="6:6" x14ac:dyDescent="0.2">
      <c r="F322" s="3">
        <v>3.7831860351562483</v>
      </c>
    </row>
    <row r="323" spans="6:6" x14ac:dyDescent="0.2">
      <c r="F323" s="3">
        <v>4.0834887695312503</v>
      </c>
    </row>
    <row r="324" spans="6:6" x14ac:dyDescent="0.2">
      <c r="F324" s="3">
        <v>4.0620385742187466</v>
      </c>
    </row>
    <row r="325" spans="6:6" x14ac:dyDescent="0.2">
      <c r="F325" s="3">
        <v>4.1478393554687472</v>
      </c>
    </row>
    <row r="326" spans="6:6" x14ac:dyDescent="0.2">
      <c r="F326" s="3">
        <v>4.2014648437499957</v>
      </c>
    </row>
    <row r="327" spans="6:6" x14ac:dyDescent="0.2">
      <c r="F327" s="3">
        <v>4.2336401367187477</v>
      </c>
    </row>
    <row r="328" spans="6:6" x14ac:dyDescent="0.2">
      <c r="F328" s="3">
        <v>4.2121899414062511</v>
      </c>
    </row>
    <row r="329" spans="6:6" x14ac:dyDescent="0.2">
      <c r="F329" s="3">
        <v>4.0727636718749949</v>
      </c>
    </row>
    <row r="330" spans="6:6" x14ac:dyDescent="0.2">
      <c r="F330" s="3">
        <v>4.04058837890625</v>
      </c>
    </row>
    <row r="331" spans="6:6" x14ac:dyDescent="0.2">
      <c r="F331" s="3">
        <v>3.7188354492187514</v>
      </c>
    </row>
    <row r="332" spans="6:6" x14ac:dyDescent="0.2">
      <c r="F332" s="3">
        <v>3.6544848632812474</v>
      </c>
    </row>
    <row r="333" spans="6:6" x14ac:dyDescent="0.2">
      <c r="F333" s="3">
        <v>3.4614331054687497</v>
      </c>
    </row>
    <row r="334" spans="6:6" x14ac:dyDescent="0.2">
      <c r="F334" s="3">
        <v>3.8153613281249998</v>
      </c>
    </row>
    <row r="335" spans="6:6" x14ac:dyDescent="0.2">
      <c r="F335" s="3">
        <v>4.0513134765624983</v>
      </c>
    </row>
    <row r="336" spans="6:6" x14ac:dyDescent="0.2">
      <c r="F336" s="3">
        <v>4.0727636718749949</v>
      </c>
    </row>
    <row r="337" spans="6:6" x14ac:dyDescent="0.2">
      <c r="F337" s="3">
        <v>4.1049389648437469</v>
      </c>
    </row>
    <row r="338" spans="6:6" x14ac:dyDescent="0.2">
      <c r="F338" s="3">
        <v>4.1049389648437469</v>
      </c>
    </row>
    <row r="339" spans="6:6" x14ac:dyDescent="0.2">
      <c r="F339" s="3">
        <v>3.8904370117187455</v>
      </c>
    </row>
    <row r="340" spans="6:6" x14ac:dyDescent="0.2">
      <c r="F340" s="3">
        <v>4.0191381835937463</v>
      </c>
    </row>
    <row r="341" spans="6:6" x14ac:dyDescent="0.2">
      <c r="F341" s="3">
        <v>3.6759350585937511</v>
      </c>
    </row>
    <row r="342" spans="6:6" x14ac:dyDescent="0.2">
      <c r="F342" s="3">
        <v>3.9655126953124977</v>
      </c>
    </row>
    <row r="343" spans="6:6" x14ac:dyDescent="0.2">
      <c r="F343" s="3">
        <v>3.8582617187500006</v>
      </c>
    </row>
    <row r="344" spans="6:6" x14ac:dyDescent="0.2">
      <c r="F344" s="3">
        <v>3.7939111328124966</v>
      </c>
    </row>
    <row r="345" spans="6:6" x14ac:dyDescent="0.2">
      <c r="F345" s="3">
        <v>3.9118872070312491</v>
      </c>
    </row>
    <row r="346" spans="6:6" x14ac:dyDescent="0.2">
      <c r="F346" s="3">
        <v>4.0620385742187466</v>
      </c>
    </row>
    <row r="347" spans="6:6" x14ac:dyDescent="0.2">
      <c r="F347" s="3">
        <v>4.0298632812500017</v>
      </c>
    </row>
    <row r="348" spans="6:6" x14ac:dyDescent="0.2">
      <c r="F348" s="3">
        <v>4.0620385742187466</v>
      </c>
    </row>
    <row r="349" spans="6:6" x14ac:dyDescent="0.2">
      <c r="F349" s="3">
        <v>4.0620385742187466</v>
      </c>
    </row>
    <row r="350" spans="6:6" x14ac:dyDescent="0.2">
      <c r="F350" s="3">
        <v>4.0620385742187466</v>
      </c>
    </row>
    <row r="351" spans="6:6" x14ac:dyDescent="0.2">
      <c r="F351" s="3">
        <v>4.0834887695312503</v>
      </c>
    </row>
    <row r="352" spans="6:6" x14ac:dyDescent="0.2">
      <c r="F352" s="3">
        <v>3.8153613281249998</v>
      </c>
    </row>
    <row r="353" spans="6:6" x14ac:dyDescent="0.2">
      <c r="F353" s="3">
        <v>3.6115844726562472</v>
      </c>
    </row>
    <row r="354" spans="6:6" x14ac:dyDescent="0.2">
      <c r="F354" s="3">
        <v>3.9547875976562494</v>
      </c>
    </row>
    <row r="355" spans="6:6" x14ac:dyDescent="0.2">
      <c r="F355" s="3">
        <v>3.9976879882812497</v>
      </c>
    </row>
    <row r="356" spans="6:6" x14ac:dyDescent="0.2">
      <c r="F356" s="3">
        <v>3.976237792968746</v>
      </c>
    </row>
    <row r="357" spans="6:6" x14ac:dyDescent="0.2">
      <c r="F357" s="3">
        <v>3.9118872070312491</v>
      </c>
    </row>
    <row r="358" spans="6:6" x14ac:dyDescent="0.2">
      <c r="F358" s="3">
        <v>3.9869628906250014</v>
      </c>
    </row>
    <row r="359" spans="6:6" x14ac:dyDescent="0.2">
      <c r="F359" s="3">
        <v>4.04058837890625</v>
      </c>
    </row>
    <row r="360" spans="6:6" x14ac:dyDescent="0.2">
      <c r="F360" s="3">
        <v>4.0620385742187466</v>
      </c>
    </row>
    <row r="361" spans="6:6" x14ac:dyDescent="0.2">
      <c r="F361" s="3">
        <v>4.0834887695312503</v>
      </c>
    </row>
    <row r="362" spans="6:6" x14ac:dyDescent="0.2">
      <c r="F362" s="3">
        <v>4.1049389648437469</v>
      </c>
    </row>
    <row r="363" spans="6:6" x14ac:dyDescent="0.2">
      <c r="F363" s="3">
        <v>3.9440625000000011</v>
      </c>
    </row>
    <row r="364" spans="6:6" x14ac:dyDescent="0.2">
      <c r="F364" s="3">
        <v>3.9333374023437457</v>
      </c>
    </row>
    <row r="365" spans="6:6" x14ac:dyDescent="0.2">
      <c r="F365" s="3">
        <v>3.8368115234374969</v>
      </c>
    </row>
    <row r="366" spans="6:6" x14ac:dyDescent="0.2">
      <c r="F366" s="3">
        <v>3.5150585937499983</v>
      </c>
    </row>
    <row r="367" spans="6:6" x14ac:dyDescent="0.2">
      <c r="F367" s="3">
        <v>3.4292578124999977</v>
      </c>
    </row>
    <row r="368" spans="6:6" x14ac:dyDescent="0.2">
      <c r="F368" s="3">
        <v>3.2576562499999966</v>
      </c>
    </row>
    <row r="369" spans="6:6" x14ac:dyDescent="0.2">
      <c r="F369" s="3">
        <v>3.6115844726562472</v>
      </c>
    </row>
    <row r="370" spans="6:6" x14ac:dyDescent="0.2">
      <c r="F370" s="3">
        <v>3.5150585937499983</v>
      </c>
    </row>
    <row r="371" spans="6:6" x14ac:dyDescent="0.2">
      <c r="F371" s="3">
        <v>3.0753295898437472</v>
      </c>
    </row>
    <row r="372" spans="6:6" x14ac:dyDescent="0.2">
      <c r="F372" s="3">
        <v>2.8393774414062491</v>
      </c>
    </row>
    <row r="373" spans="6:6" x14ac:dyDescent="0.2">
      <c r="F373" s="3">
        <v>3.2791064453125003</v>
      </c>
    </row>
    <row r="374" spans="6:6" x14ac:dyDescent="0.2">
      <c r="F374" s="3">
        <v>3.2469311523437483</v>
      </c>
    </row>
    <row r="375" spans="6:6" x14ac:dyDescent="0.2">
      <c r="F375" s="3">
        <v>3.0324291992187469</v>
      </c>
    </row>
    <row r="376" spans="6:6" x14ac:dyDescent="0.2">
      <c r="F376" s="3">
        <v>2.7964770507812489</v>
      </c>
    </row>
    <row r="377" spans="6:6" x14ac:dyDescent="0.2">
      <c r="F377" s="3">
        <v>2.5605249023437509</v>
      </c>
    </row>
    <row r="378" spans="6:6" x14ac:dyDescent="0.2">
      <c r="F378" s="3">
        <v>2.903728027343746</v>
      </c>
    </row>
    <row r="379" spans="6:6" x14ac:dyDescent="0.2">
      <c r="F379" s="3">
        <v>2.7643017578124969</v>
      </c>
    </row>
    <row r="380" spans="6:6" x14ac:dyDescent="0.2">
      <c r="F380" s="3">
        <v>2.903728027343746</v>
      </c>
    </row>
    <row r="381" spans="6:6" x14ac:dyDescent="0.2">
      <c r="F381" s="3">
        <v>3.1075048828124991</v>
      </c>
    </row>
    <row r="382" spans="6:6" x14ac:dyDescent="0.2">
      <c r="F382" s="3">
        <v>3.171855468749996</v>
      </c>
    </row>
    <row r="383" spans="6:6" x14ac:dyDescent="0.2">
      <c r="F383" s="3">
        <v>3.204030761718748</v>
      </c>
    </row>
    <row r="384" spans="6:6" x14ac:dyDescent="0.2">
      <c r="F384" s="3">
        <v>3.171855468749996</v>
      </c>
    </row>
    <row r="385" spans="6:6" x14ac:dyDescent="0.2">
      <c r="F385" s="3">
        <v>2.9895288085937466</v>
      </c>
    </row>
    <row r="386" spans="6:6" x14ac:dyDescent="0.2">
      <c r="F386" s="3">
        <v>2.9895288085937466</v>
      </c>
    </row>
    <row r="387" spans="6:6" x14ac:dyDescent="0.2">
      <c r="F387" s="3">
        <v>3.0538793945312506</v>
      </c>
    </row>
    <row r="388" spans="6:6" x14ac:dyDescent="0.2">
      <c r="F388" s="3">
        <v>3.3970825195312457</v>
      </c>
    </row>
    <row r="389" spans="6:6" x14ac:dyDescent="0.2">
      <c r="F389" s="3">
        <v>3.4828833007812463</v>
      </c>
    </row>
    <row r="390" spans="6:6" x14ac:dyDescent="0.2">
      <c r="F390" s="3">
        <v>3.6008593749999989</v>
      </c>
    </row>
    <row r="391" spans="6:6" x14ac:dyDescent="0.2">
      <c r="F391" s="3">
        <v>3.6223095703124955</v>
      </c>
    </row>
    <row r="392" spans="6:6" x14ac:dyDescent="0.2">
      <c r="F392" s="3">
        <v>3.6973852539062477</v>
      </c>
    </row>
    <row r="393" spans="6:6" x14ac:dyDescent="0.2">
      <c r="F393" s="3">
        <v>3.7510107421874963</v>
      </c>
    </row>
    <row r="394" spans="6:6" x14ac:dyDescent="0.2">
      <c r="F394" s="3">
        <v>3.7510107421874963</v>
      </c>
    </row>
    <row r="395" spans="6:6" x14ac:dyDescent="0.2">
      <c r="F395" s="3">
        <v>3.7510107421874963</v>
      </c>
    </row>
    <row r="396" spans="6:6" x14ac:dyDescent="0.2">
      <c r="F396" s="3">
        <v>3.8368115234374969</v>
      </c>
    </row>
    <row r="397" spans="6:6" x14ac:dyDescent="0.2">
      <c r="F397" s="3">
        <v>3.976237792968746</v>
      </c>
    </row>
    <row r="398" spans="6:6" x14ac:dyDescent="0.2">
      <c r="F398" s="3">
        <v>3.976237792968746</v>
      </c>
    </row>
    <row r="399" spans="6:6" x14ac:dyDescent="0.2">
      <c r="F399" s="3">
        <v>3.9547875976562494</v>
      </c>
    </row>
    <row r="400" spans="6:6" x14ac:dyDescent="0.2">
      <c r="F400" s="3">
        <v>3.9440625000000011</v>
      </c>
    </row>
    <row r="401" spans="6:6" x14ac:dyDescent="0.2">
      <c r="F401" s="3">
        <v>4.0942138671874986</v>
      </c>
    </row>
    <row r="402" spans="6:6" x14ac:dyDescent="0.2">
      <c r="F402" s="3">
        <v>4.1478393554687472</v>
      </c>
    </row>
    <row r="403" spans="6:6" x14ac:dyDescent="0.2">
      <c r="F403" s="3">
        <v>4.0727636718749949</v>
      </c>
    </row>
    <row r="404" spans="6:6" x14ac:dyDescent="0.2">
      <c r="F404" s="3">
        <v>4.3516162109375003</v>
      </c>
    </row>
    <row r="405" spans="6:6" x14ac:dyDescent="0.2">
      <c r="F405" s="3">
        <v>4.6840942382812472</v>
      </c>
    </row>
    <row r="406" spans="6:6" x14ac:dyDescent="0.2">
      <c r="F406" s="3">
        <v>4.6948193359374955</v>
      </c>
    </row>
    <row r="407" spans="6:6" x14ac:dyDescent="0.2">
      <c r="F407" s="3">
        <v>4.7269946289062474</v>
      </c>
    </row>
    <row r="408" spans="6:6" x14ac:dyDescent="0.2">
      <c r="F408" s="3">
        <v>4.57684326171875</v>
      </c>
    </row>
    <row r="409" spans="6:6" x14ac:dyDescent="0.2">
      <c r="F409" s="3">
        <v>4.3623413085937486</v>
      </c>
    </row>
    <row r="410" spans="6:6" x14ac:dyDescent="0.2">
      <c r="F410" s="3">
        <v>4.3301660156249966</v>
      </c>
    </row>
    <row r="411" spans="6:6" x14ac:dyDescent="0.2">
      <c r="F411" s="3">
        <v>4.3945166015625006</v>
      </c>
    </row>
    <row r="412" spans="6:6" x14ac:dyDescent="0.2">
      <c r="F412" s="3">
        <v>4.2979907226562517</v>
      </c>
    </row>
    <row r="413" spans="6:6" x14ac:dyDescent="0.2">
      <c r="F413" s="3">
        <v>4.276540527343748</v>
      </c>
    </row>
    <row r="414" spans="6:6" x14ac:dyDescent="0.2">
      <c r="F414" s="3">
        <v>4.3408911132812449</v>
      </c>
    </row>
    <row r="415" spans="6:6" x14ac:dyDescent="0.2">
      <c r="F415" s="3">
        <v>4.6840942382812472</v>
      </c>
    </row>
    <row r="416" spans="6:6" x14ac:dyDescent="0.2">
      <c r="F416" s="3">
        <v>4.844970703125</v>
      </c>
    </row>
    <row r="417" spans="6:6" x14ac:dyDescent="0.2">
      <c r="F417" s="3">
        <v>4.6197436523437503</v>
      </c>
    </row>
    <row r="418" spans="6:6" x14ac:dyDescent="0.2">
      <c r="F418" s="3">
        <v>4.5232177734375014</v>
      </c>
    </row>
    <row r="419" spans="6:6" x14ac:dyDescent="0.2">
      <c r="F419" s="3">
        <v>4.4374169921875009</v>
      </c>
    </row>
    <row r="420" spans="6:6" x14ac:dyDescent="0.2">
      <c r="F420" s="3">
        <v>4.3194409179687483</v>
      </c>
    </row>
    <row r="421" spans="6:6" x14ac:dyDescent="0.2">
      <c r="F421" s="3">
        <v>4.1371142578124989</v>
      </c>
    </row>
    <row r="422" spans="6:6" x14ac:dyDescent="0.2">
      <c r="F422" s="3">
        <v>4.1692895507812509</v>
      </c>
    </row>
    <row r="423" spans="6:6" x14ac:dyDescent="0.2">
      <c r="F423" s="3">
        <v>4.1692895507812509</v>
      </c>
    </row>
    <row r="424" spans="6:6" x14ac:dyDescent="0.2">
      <c r="F424" s="3">
        <v>4.4588671874999974</v>
      </c>
    </row>
    <row r="425" spans="6:6" x14ac:dyDescent="0.2">
      <c r="F425" s="3">
        <v>4.2336401367187477</v>
      </c>
    </row>
    <row r="426" spans="6:6" x14ac:dyDescent="0.2">
      <c r="F426" s="3">
        <v>3.5686840820312469</v>
      </c>
    </row>
    <row r="427" spans="6:6" x14ac:dyDescent="0.2">
      <c r="F427" s="3">
        <v>3.0753295898437472</v>
      </c>
    </row>
    <row r="428" spans="6:6" x14ac:dyDescent="0.2">
      <c r="F428" s="3">
        <v>3.0431542968749952</v>
      </c>
    </row>
    <row r="429" spans="6:6" x14ac:dyDescent="0.2">
      <c r="F429" s="3">
        <v>2.8179272460937455</v>
      </c>
    </row>
    <row r="430" spans="6:6" x14ac:dyDescent="0.2">
      <c r="F430" s="3">
        <v>2.8179272460937455</v>
      </c>
    </row>
    <row r="431" spans="6:6" x14ac:dyDescent="0.2">
      <c r="F431" s="3">
        <v>3.4078076171875011</v>
      </c>
    </row>
    <row r="432" spans="6:6" x14ac:dyDescent="0.2">
      <c r="F432" s="3">
        <v>3.5686840820312469</v>
      </c>
    </row>
    <row r="433" spans="6:6" x14ac:dyDescent="0.2">
      <c r="F433" s="3">
        <v>3.740285644531248</v>
      </c>
    </row>
    <row r="434" spans="6:6" x14ac:dyDescent="0.2">
      <c r="F434" s="3">
        <v>3.8046362304687449</v>
      </c>
    </row>
    <row r="435" spans="6:6" x14ac:dyDescent="0.2">
      <c r="F435" s="3">
        <v>3.8904370117187455</v>
      </c>
    </row>
    <row r="436" spans="6:6" x14ac:dyDescent="0.2">
      <c r="F436" s="3">
        <v>3.9547875976562494</v>
      </c>
    </row>
    <row r="437" spans="6:6" x14ac:dyDescent="0.2">
      <c r="F437" s="3">
        <v>4.008413085937498</v>
      </c>
    </row>
    <row r="438" spans="6:6" x14ac:dyDescent="0.2">
      <c r="F438" s="3">
        <v>4.04058837890625</v>
      </c>
    </row>
    <row r="439" spans="6:6" x14ac:dyDescent="0.2">
      <c r="F439" s="3">
        <v>4.2336401367187477</v>
      </c>
    </row>
    <row r="440" spans="6:6" x14ac:dyDescent="0.2">
      <c r="F440" s="3">
        <v>4.7698950195312477</v>
      </c>
    </row>
    <row r="441" spans="6:6" x14ac:dyDescent="0.2">
      <c r="F441" s="3">
        <v>4.5875683593749983</v>
      </c>
    </row>
    <row r="442" spans="6:6" x14ac:dyDescent="0.2">
      <c r="F442" s="3">
        <v>4.4052416992187489</v>
      </c>
    </row>
    <row r="443" spans="6:6" x14ac:dyDescent="0.2">
      <c r="F443" s="3">
        <v>4.4910424804687494</v>
      </c>
    </row>
    <row r="444" spans="6:6" x14ac:dyDescent="0.2">
      <c r="F444" s="3">
        <v>4.4374169921875009</v>
      </c>
    </row>
    <row r="445" spans="6:6" x14ac:dyDescent="0.2">
      <c r="F445" s="3">
        <v>4.2550903320312514</v>
      </c>
    </row>
    <row r="446" spans="6:6" x14ac:dyDescent="0.2">
      <c r="F446" s="3">
        <v>4.244365234374996</v>
      </c>
    </row>
    <row r="447" spans="6:6" x14ac:dyDescent="0.2">
      <c r="F447" s="3">
        <v>4.0834887695312503</v>
      </c>
    </row>
    <row r="448" spans="6:6" x14ac:dyDescent="0.2">
      <c r="F448" s="3">
        <v>3.6330346679687509</v>
      </c>
    </row>
    <row r="449" spans="6:6" x14ac:dyDescent="0.2">
      <c r="F449" s="3">
        <v>3.6437597656249991</v>
      </c>
    </row>
    <row r="450" spans="6:6" x14ac:dyDescent="0.2">
      <c r="F450" s="3">
        <v>3.6652099609374957</v>
      </c>
    </row>
    <row r="451" spans="6:6" x14ac:dyDescent="0.2">
      <c r="F451" s="3">
        <v>3.5579589843749986</v>
      </c>
    </row>
    <row r="452" spans="6:6" x14ac:dyDescent="0.2">
      <c r="F452" s="3">
        <v>3.3970825195312457</v>
      </c>
    </row>
    <row r="453" spans="6:6" x14ac:dyDescent="0.2">
      <c r="F453" s="3">
        <v>3.5472338867187503</v>
      </c>
    </row>
    <row r="454" spans="6:6" x14ac:dyDescent="0.2">
      <c r="F454" s="3">
        <v>3.8582617187500006</v>
      </c>
    </row>
    <row r="455" spans="6:6" x14ac:dyDescent="0.2">
      <c r="F455" s="3">
        <v>3.6652099609374957</v>
      </c>
    </row>
    <row r="456" spans="6:6" x14ac:dyDescent="0.2">
      <c r="F456" s="3">
        <v>3.8046362304687449</v>
      </c>
    </row>
    <row r="457" spans="6:6" x14ac:dyDescent="0.2">
      <c r="F457" s="3">
        <v>3.8904370117187455</v>
      </c>
    </row>
    <row r="458" spans="6:6" x14ac:dyDescent="0.2">
      <c r="F458" s="3">
        <v>3.8260864257812486</v>
      </c>
    </row>
    <row r="459" spans="6:6" x14ac:dyDescent="0.2">
      <c r="F459" s="3">
        <v>3.6544848632812474</v>
      </c>
    </row>
    <row r="460" spans="6:6" x14ac:dyDescent="0.2">
      <c r="F460" s="3">
        <v>3.6330346679687509</v>
      </c>
    </row>
    <row r="461" spans="6:6" x14ac:dyDescent="0.2">
      <c r="F461" s="3">
        <v>3.9118872070312491</v>
      </c>
    </row>
    <row r="462" spans="6:6" x14ac:dyDescent="0.2">
      <c r="F462" s="3">
        <v>3.8904370117187455</v>
      </c>
    </row>
    <row r="463" spans="6:6" x14ac:dyDescent="0.2">
      <c r="F463" s="3">
        <v>3.9547875976562494</v>
      </c>
    </row>
    <row r="464" spans="6:6" x14ac:dyDescent="0.2">
      <c r="F464" s="3">
        <v>4.2014648437499957</v>
      </c>
    </row>
    <row r="465" spans="6:6" x14ac:dyDescent="0.2">
      <c r="F465" s="3">
        <v>4.2658154296874997</v>
      </c>
    </row>
    <row r="466" spans="6:6" x14ac:dyDescent="0.2">
      <c r="F466" s="3">
        <v>4.3194409179687483</v>
      </c>
    </row>
    <row r="467" spans="6:6" x14ac:dyDescent="0.2">
      <c r="F467" s="3">
        <v>4.3194409179687483</v>
      </c>
    </row>
    <row r="468" spans="6:6" x14ac:dyDescent="0.2">
      <c r="F468" s="3">
        <v>4.8771459960937449</v>
      </c>
    </row>
    <row r="469" spans="6:6" x14ac:dyDescent="0.2">
      <c r="F469" s="3">
        <v>4.9093212890624969</v>
      </c>
    </row>
    <row r="470" spans="6:6" x14ac:dyDescent="0.2">
      <c r="F470" s="3">
        <v>4.8771459960937449</v>
      </c>
    </row>
    <row r="471" spans="6:6" x14ac:dyDescent="0.2">
      <c r="F471" s="3">
        <v>4.8020703124999997</v>
      </c>
    </row>
    <row r="472" spans="6:6" x14ac:dyDescent="0.2">
      <c r="F472" s="3">
        <v>4.6090185546874949</v>
      </c>
    </row>
    <row r="473" spans="6:6" x14ac:dyDescent="0.2">
      <c r="F473" s="3">
        <v>5.0380224609374977</v>
      </c>
    </row>
    <row r="474" spans="6:6" x14ac:dyDescent="0.2">
      <c r="F474" s="3">
        <v>5.1023730468750017</v>
      </c>
    </row>
    <row r="475" spans="6:6" x14ac:dyDescent="0.2">
      <c r="F475" s="3">
        <v>4.7698950195312477</v>
      </c>
    </row>
    <row r="476" spans="6:6" x14ac:dyDescent="0.2">
      <c r="F476" s="3">
        <v>4.3301660156249966</v>
      </c>
    </row>
    <row r="477" spans="6:6" x14ac:dyDescent="0.2">
      <c r="F477" s="3">
        <v>4.0298632812500017</v>
      </c>
    </row>
    <row r="478" spans="6:6" x14ac:dyDescent="0.2">
      <c r="F478" s="3">
        <v>4.1371142578124989</v>
      </c>
    </row>
    <row r="479" spans="6:6" x14ac:dyDescent="0.2">
      <c r="F479" s="3">
        <v>4.1692895507812509</v>
      </c>
    </row>
    <row r="480" spans="6:6" x14ac:dyDescent="0.2">
      <c r="F480" s="3">
        <v>4.2014648437499957</v>
      </c>
    </row>
    <row r="481" spans="6:6" x14ac:dyDescent="0.2">
      <c r="F481" s="3">
        <v>4.2550903320312514</v>
      </c>
    </row>
    <row r="482" spans="6:6" x14ac:dyDescent="0.2">
      <c r="F482" s="3">
        <v>4.2872656249999963</v>
      </c>
    </row>
    <row r="483" spans="6:6" x14ac:dyDescent="0.2">
      <c r="F483" s="3">
        <v>4.7591699218749994</v>
      </c>
    </row>
    <row r="484" spans="6:6" x14ac:dyDescent="0.2">
      <c r="F484" s="3">
        <v>4.6304687499999986</v>
      </c>
    </row>
    <row r="485" spans="6:6" x14ac:dyDescent="0.2">
      <c r="F485" s="3">
        <v>4.544667968749998</v>
      </c>
    </row>
    <row r="486" spans="6:6" x14ac:dyDescent="0.2">
      <c r="F486" s="3">
        <v>4.6197436523437503</v>
      </c>
    </row>
    <row r="487" spans="6:6" x14ac:dyDescent="0.2">
      <c r="F487" s="3">
        <v>4.8342456054687517</v>
      </c>
    </row>
    <row r="488" spans="6:6" x14ac:dyDescent="0.2">
      <c r="F488" s="3">
        <v>5.0701977539062497</v>
      </c>
    </row>
    <row r="489" spans="6:6" x14ac:dyDescent="0.2">
      <c r="F489" s="3">
        <v>4.544667968749998</v>
      </c>
    </row>
    <row r="490" spans="6:6" x14ac:dyDescent="0.2">
      <c r="F490" s="3">
        <v>4.6197436523437503</v>
      </c>
    </row>
    <row r="491" spans="6:6" x14ac:dyDescent="0.2">
      <c r="F491" s="3">
        <v>4.5553930664062463</v>
      </c>
    </row>
    <row r="492" spans="6:6" x14ac:dyDescent="0.2">
      <c r="F492" s="3">
        <v>4.8020703124999997</v>
      </c>
    </row>
    <row r="493" spans="6:6" x14ac:dyDescent="0.2">
      <c r="F493" s="3">
        <v>4.9200463867187452</v>
      </c>
    </row>
    <row r="494" spans="6:6" x14ac:dyDescent="0.2">
      <c r="F494" s="3">
        <v>4.9522216796874972</v>
      </c>
    </row>
    <row r="495" spans="6:6" x14ac:dyDescent="0.2">
      <c r="F495" s="3">
        <v>4.8020703124999997</v>
      </c>
    </row>
    <row r="496" spans="6:6" x14ac:dyDescent="0.2">
      <c r="F496" s="3">
        <v>5.1023730468750017</v>
      </c>
    </row>
    <row r="497" spans="6:6" x14ac:dyDescent="0.2">
      <c r="F497" s="3">
        <v>5.1667236328124986</v>
      </c>
    </row>
    <row r="498" spans="6:6" x14ac:dyDescent="0.2">
      <c r="F498" s="3">
        <v>4.9307714843750006</v>
      </c>
    </row>
    <row r="499" spans="6:6" x14ac:dyDescent="0.2">
      <c r="F499" s="3">
        <v>4.3623413085937486</v>
      </c>
    </row>
    <row r="500" spans="6:6" x14ac:dyDescent="0.2">
      <c r="F500" s="3">
        <v>4.1478393554687472</v>
      </c>
    </row>
    <row r="501" spans="6:6" x14ac:dyDescent="0.2">
      <c r="F501" s="3">
        <v>3.9118872070312491</v>
      </c>
    </row>
    <row r="502" spans="6:6" x14ac:dyDescent="0.2">
      <c r="F502" s="3">
        <v>3.8797119140624972</v>
      </c>
    </row>
    <row r="503" spans="6:6" x14ac:dyDescent="0.2">
      <c r="F503" s="3">
        <v>4.1478393554687472</v>
      </c>
    </row>
    <row r="504" spans="6:6" x14ac:dyDescent="0.2">
      <c r="F504" s="3">
        <v>4.2872656249999963</v>
      </c>
    </row>
    <row r="505" spans="6:6" x14ac:dyDescent="0.2">
      <c r="F505" s="3">
        <v>4.2872656249999963</v>
      </c>
    </row>
    <row r="506" spans="6:6" x14ac:dyDescent="0.2">
      <c r="F506" s="3">
        <v>4.2658154296874997</v>
      </c>
    </row>
    <row r="507" spans="6:6" x14ac:dyDescent="0.2">
      <c r="F507" s="3">
        <v>4.57684326171875</v>
      </c>
    </row>
    <row r="508" spans="6:6" x14ac:dyDescent="0.2">
      <c r="F508" s="3">
        <v>4.5661181640625017</v>
      </c>
    </row>
    <row r="509" spans="6:6" x14ac:dyDescent="0.2">
      <c r="F509" s="3">
        <v>4.5553930664062463</v>
      </c>
    </row>
    <row r="510" spans="6:6" x14ac:dyDescent="0.2">
      <c r="F510" s="3">
        <v>4.4695922851562457</v>
      </c>
    </row>
    <row r="511" spans="6:6" x14ac:dyDescent="0.2">
      <c r="F511" s="3">
        <v>4.4803173828125011</v>
      </c>
    </row>
    <row r="512" spans="6:6" x14ac:dyDescent="0.2">
      <c r="F512" s="3">
        <v>4.4803173828125011</v>
      </c>
    </row>
    <row r="513" spans="6:6" x14ac:dyDescent="0.2">
      <c r="F513" s="3">
        <v>4.4588671874999974</v>
      </c>
    </row>
    <row r="514" spans="6:6" x14ac:dyDescent="0.2">
      <c r="F514" s="3">
        <v>4.3730664062499969</v>
      </c>
    </row>
    <row r="515" spans="6:6" x14ac:dyDescent="0.2">
      <c r="F515" s="3">
        <v>4.3730664062499969</v>
      </c>
    </row>
    <row r="516" spans="6:6" x14ac:dyDescent="0.2">
      <c r="F516" s="3">
        <v>4.3623413085937486</v>
      </c>
    </row>
    <row r="517" spans="6:6" x14ac:dyDescent="0.2">
      <c r="F517" s="3">
        <v>4.3408911132812449</v>
      </c>
    </row>
    <row r="518" spans="6:6" x14ac:dyDescent="0.2">
      <c r="F518" s="3">
        <v>4.3194409179687483</v>
      </c>
    </row>
    <row r="519" spans="6:6" x14ac:dyDescent="0.2">
      <c r="F519" s="3">
        <v>4.0620385742187466</v>
      </c>
    </row>
    <row r="520" spans="6:6" x14ac:dyDescent="0.2">
      <c r="F520" s="3">
        <v>3.976237792968746</v>
      </c>
    </row>
    <row r="521" spans="6:6" x14ac:dyDescent="0.2">
      <c r="F521" s="3">
        <v>4.0942138671874986</v>
      </c>
    </row>
    <row r="522" spans="6:6" x14ac:dyDescent="0.2">
      <c r="F522" s="3">
        <v>4.3194409179687483</v>
      </c>
    </row>
    <row r="523" spans="6:6" x14ac:dyDescent="0.2">
      <c r="F523" s="3">
        <v>4.276540527343748</v>
      </c>
    </row>
    <row r="524" spans="6:6" x14ac:dyDescent="0.2">
      <c r="F524" s="3">
        <v>4.2014648437499957</v>
      </c>
    </row>
    <row r="525" spans="6:6" x14ac:dyDescent="0.2">
      <c r="F525" s="3">
        <v>4.5982934570312466</v>
      </c>
    </row>
    <row r="526" spans="6:6" x14ac:dyDescent="0.2">
      <c r="F526" s="3">
        <v>4.6733691406249989</v>
      </c>
    </row>
    <row r="527" spans="6:6" x14ac:dyDescent="0.2">
      <c r="F527" s="3">
        <v>4.1692895507812509</v>
      </c>
    </row>
    <row r="528" spans="6:6" x14ac:dyDescent="0.2">
      <c r="F528" s="3">
        <v>3.4614331054687497</v>
      </c>
    </row>
    <row r="529" spans="6:6" x14ac:dyDescent="0.2">
      <c r="F529" s="3">
        <v>3.4828833007812463</v>
      </c>
    </row>
    <row r="530" spans="6:6" x14ac:dyDescent="0.2">
      <c r="F530" s="3">
        <v>3.5365087890624949</v>
      </c>
    </row>
    <row r="531" spans="6:6" x14ac:dyDescent="0.2">
      <c r="F531" s="3">
        <v>3.9118872070312491</v>
      </c>
    </row>
    <row r="532" spans="6:6" x14ac:dyDescent="0.2">
      <c r="F532" s="3">
        <v>3.9869628906250014</v>
      </c>
    </row>
    <row r="533" spans="6:6" x14ac:dyDescent="0.2">
      <c r="F533" s="3">
        <v>3.976237792968746</v>
      </c>
    </row>
    <row r="534" spans="6:6" x14ac:dyDescent="0.2">
      <c r="F534" s="3">
        <v>3.8904370117187455</v>
      </c>
    </row>
    <row r="535" spans="6:6" x14ac:dyDescent="0.2">
      <c r="F535" s="3">
        <v>3.9011621093750009</v>
      </c>
    </row>
    <row r="536" spans="6:6" x14ac:dyDescent="0.2">
      <c r="F536" s="3">
        <v>3.9547875976562494</v>
      </c>
    </row>
    <row r="537" spans="6:6" x14ac:dyDescent="0.2">
      <c r="F537" s="3">
        <v>4.04058837890625</v>
      </c>
    </row>
    <row r="538" spans="6:6" x14ac:dyDescent="0.2">
      <c r="F538" s="3">
        <v>4.0727636718749949</v>
      </c>
    </row>
    <row r="539" spans="6:6" x14ac:dyDescent="0.2">
      <c r="F539" s="3">
        <v>4.0727636718749949</v>
      </c>
    </row>
    <row r="540" spans="6:6" x14ac:dyDescent="0.2">
      <c r="F540" s="3">
        <v>3.9869628906250014</v>
      </c>
    </row>
    <row r="541" spans="6:6" x14ac:dyDescent="0.2">
      <c r="F541" s="3">
        <v>3.9226123046874974</v>
      </c>
    </row>
    <row r="542" spans="6:6" x14ac:dyDescent="0.2">
      <c r="F542" s="3">
        <v>3.8904370117187455</v>
      </c>
    </row>
    <row r="543" spans="6:6" x14ac:dyDescent="0.2">
      <c r="F543" s="3">
        <v>3.8260864257812486</v>
      </c>
    </row>
    <row r="544" spans="6:6" x14ac:dyDescent="0.2">
      <c r="F544" s="3">
        <v>3.7831860351562483</v>
      </c>
    </row>
    <row r="545" spans="6:6" x14ac:dyDescent="0.2">
      <c r="F545" s="3">
        <v>3.8260864257812486</v>
      </c>
    </row>
    <row r="546" spans="6:6" x14ac:dyDescent="0.2">
      <c r="F546" s="3">
        <v>3.976237792968746</v>
      </c>
    </row>
    <row r="547" spans="6:6" x14ac:dyDescent="0.2">
      <c r="F547" s="3">
        <v>4.0727636718749949</v>
      </c>
    </row>
    <row r="548" spans="6:6" x14ac:dyDescent="0.2">
      <c r="F548" s="3">
        <v>4.1263891601562506</v>
      </c>
    </row>
    <row r="549" spans="6:6" x14ac:dyDescent="0.2">
      <c r="F549" s="3">
        <v>4.2336401367187477</v>
      </c>
    </row>
    <row r="550" spans="6:6" x14ac:dyDescent="0.2">
      <c r="F550" s="3">
        <v>4.6626440429687506</v>
      </c>
    </row>
    <row r="551" spans="6:6" x14ac:dyDescent="0.2">
      <c r="F551" s="3">
        <v>4.8235205078124963</v>
      </c>
    </row>
    <row r="552" spans="6:6" x14ac:dyDescent="0.2">
      <c r="F552" s="3">
        <v>4.8020703124999997</v>
      </c>
    </row>
    <row r="553" spans="6:6" x14ac:dyDescent="0.2">
      <c r="F553" s="3">
        <v>4.6840942382812472</v>
      </c>
    </row>
    <row r="554" spans="6:6" x14ac:dyDescent="0.2">
      <c r="F554" s="3">
        <v>4.5875683593749983</v>
      </c>
    </row>
    <row r="555" spans="6:6" x14ac:dyDescent="0.2">
      <c r="F555" s="3">
        <v>4.5875683593749983</v>
      </c>
    </row>
    <row r="556" spans="6:6" x14ac:dyDescent="0.2">
      <c r="F556" s="3">
        <v>4.3194409179687483</v>
      </c>
    </row>
    <row r="557" spans="6:6" x14ac:dyDescent="0.2">
      <c r="F557" s="3">
        <v>4.1692895507812509</v>
      </c>
    </row>
    <row r="558" spans="6:6" x14ac:dyDescent="0.2">
      <c r="F558" s="3">
        <v>3.9869628906250014</v>
      </c>
    </row>
    <row r="559" spans="6:6" x14ac:dyDescent="0.2">
      <c r="F559" s="3">
        <v>3.9440625000000011</v>
      </c>
    </row>
    <row r="560" spans="6:6" x14ac:dyDescent="0.2">
      <c r="F560" s="3">
        <v>4.0834887695312503</v>
      </c>
    </row>
    <row r="561" spans="6:6" x14ac:dyDescent="0.2">
      <c r="F561" s="3">
        <v>3.9440625000000011</v>
      </c>
    </row>
    <row r="562" spans="6:6" x14ac:dyDescent="0.2">
      <c r="F562" s="3">
        <v>3.9976879882812497</v>
      </c>
    </row>
    <row r="563" spans="6:6" x14ac:dyDescent="0.2">
      <c r="F563" s="3">
        <v>3.8904370117187455</v>
      </c>
    </row>
    <row r="564" spans="6:6" x14ac:dyDescent="0.2">
      <c r="F564" s="3">
        <v>3.9655126953124977</v>
      </c>
    </row>
    <row r="565" spans="6:6" x14ac:dyDescent="0.2">
      <c r="F565" s="3">
        <v>3.9118872070312491</v>
      </c>
    </row>
    <row r="566" spans="6:6" x14ac:dyDescent="0.2">
      <c r="F566" s="3">
        <v>3.9547875976562494</v>
      </c>
    </row>
    <row r="567" spans="6:6" x14ac:dyDescent="0.2">
      <c r="F567" s="3">
        <v>3.9869628906250014</v>
      </c>
    </row>
    <row r="568" spans="6:6" x14ac:dyDescent="0.2">
      <c r="F568" s="3">
        <v>3.9118872070312491</v>
      </c>
    </row>
    <row r="569" spans="6:6" x14ac:dyDescent="0.2">
      <c r="F569" s="3">
        <v>3.9118872070312491</v>
      </c>
    </row>
    <row r="570" spans="6:6" x14ac:dyDescent="0.2">
      <c r="F570" s="3">
        <v>3.9333374023437457</v>
      </c>
    </row>
    <row r="571" spans="6:6" x14ac:dyDescent="0.2">
      <c r="F571" s="3">
        <v>3.9440625000000011</v>
      </c>
    </row>
    <row r="572" spans="6:6" x14ac:dyDescent="0.2">
      <c r="F572" s="3">
        <v>3.8475366210937452</v>
      </c>
    </row>
    <row r="573" spans="6:6" x14ac:dyDescent="0.2">
      <c r="F573" s="3">
        <v>3.8260864257812486</v>
      </c>
    </row>
    <row r="574" spans="6:6" x14ac:dyDescent="0.2">
      <c r="F574" s="3">
        <v>3.9011621093750009</v>
      </c>
    </row>
    <row r="575" spans="6:6" x14ac:dyDescent="0.2">
      <c r="F575" s="3">
        <v>4.0727636718749949</v>
      </c>
    </row>
    <row r="576" spans="6:6" x14ac:dyDescent="0.2">
      <c r="F576" s="3">
        <v>4.1478393554687472</v>
      </c>
    </row>
    <row r="577" spans="6:6" x14ac:dyDescent="0.2">
      <c r="F577" s="3">
        <v>4.1478393554687472</v>
      </c>
    </row>
    <row r="578" spans="6:6" x14ac:dyDescent="0.2">
      <c r="F578" s="3">
        <v>4.2014648437499957</v>
      </c>
    </row>
    <row r="579" spans="6:6" x14ac:dyDescent="0.2">
      <c r="F579" s="3">
        <v>4.2014648437499957</v>
      </c>
    </row>
    <row r="580" spans="6:6" x14ac:dyDescent="0.2">
      <c r="F580" s="3">
        <v>4.0727636718749949</v>
      </c>
    </row>
    <row r="581" spans="6:6" x14ac:dyDescent="0.2">
      <c r="F581" s="3">
        <v>3.976237792968746</v>
      </c>
    </row>
    <row r="582" spans="6:6" x14ac:dyDescent="0.2">
      <c r="F582" s="3">
        <v>3.8260864257812486</v>
      </c>
    </row>
    <row r="583" spans="6:6" x14ac:dyDescent="0.2">
      <c r="F583" s="3">
        <v>3.8153613281249998</v>
      </c>
    </row>
    <row r="584" spans="6:6" x14ac:dyDescent="0.2">
      <c r="F584" s="3">
        <v>3.8582617187500006</v>
      </c>
    </row>
    <row r="585" spans="6:6" x14ac:dyDescent="0.2">
      <c r="F585" s="3">
        <v>3.9976879882812497</v>
      </c>
    </row>
    <row r="586" spans="6:6" x14ac:dyDescent="0.2">
      <c r="F586" s="3">
        <v>4.2872656249999963</v>
      </c>
    </row>
    <row r="587" spans="6:6" x14ac:dyDescent="0.2">
      <c r="F587" s="3">
        <v>4.2229150390624994</v>
      </c>
    </row>
    <row r="588" spans="6:6" x14ac:dyDescent="0.2">
      <c r="F588" s="3">
        <v>4.2229150390624994</v>
      </c>
    </row>
    <row r="589" spans="6:6" x14ac:dyDescent="0.2">
      <c r="F589" s="3">
        <v>4.3730664062499969</v>
      </c>
    </row>
    <row r="590" spans="6:6" x14ac:dyDescent="0.2">
      <c r="F590" s="3">
        <v>4.3516162109375003</v>
      </c>
    </row>
    <row r="591" spans="6:6" x14ac:dyDescent="0.2">
      <c r="F591" s="3">
        <v>4.3730664062499969</v>
      </c>
    </row>
    <row r="592" spans="6:6" x14ac:dyDescent="0.2">
      <c r="F592" s="3">
        <v>4.4266918945312455</v>
      </c>
    </row>
    <row r="593" spans="6:6" x14ac:dyDescent="0.2">
      <c r="F593" s="3">
        <v>4.8020703124999997</v>
      </c>
    </row>
    <row r="594" spans="6:6" x14ac:dyDescent="0.2">
      <c r="F594" s="3">
        <v>4.6411938476562469</v>
      </c>
    </row>
    <row r="595" spans="6:6" x14ac:dyDescent="0.2">
      <c r="F595" s="3">
        <v>4.5339428710937497</v>
      </c>
    </row>
    <row r="596" spans="6:6" x14ac:dyDescent="0.2">
      <c r="F596" s="3">
        <v>4.4374169921875009</v>
      </c>
    </row>
    <row r="597" spans="6:6" x14ac:dyDescent="0.2">
      <c r="F597" s="3">
        <v>4.3194409179687483</v>
      </c>
    </row>
    <row r="598" spans="6:6" x14ac:dyDescent="0.2">
      <c r="F598" s="3">
        <v>4.3408911132812449</v>
      </c>
    </row>
    <row r="599" spans="6:6" x14ac:dyDescent="0.2">
      <c r="F599" s="3">
        <v>4.3194409179687483</v>
      </c>
    </row>
    <row r="600" spans="6:6" x14ac:dyDescent="0.2">
      <c r="F600" s="3">
        <v>4.3194409179687483</v>
      </c>
    </row>
    <row r="601" spans="6:6" x14ac:dyDescent="0.2">
      <c r="F601" s="3">
        <v>4.3194409179687483</v>
      </c>
    </row>
    <row r="602" spans="6:6" x14ac:dyDescent="0.2">
      <c r="F602" s="3">
        <v>4.512492675781246</v>
      </c>
    </row>
    <row r="603" spans="6:6" x14ac:dyDescent="0.2">
      <c r="F603" s="3">
        <v>4.5661181640625017</v>
      </c>
    </row>
    <row r="604" spans="6:6" x14ac:dyDescent="0.2">
      <c r="F604" s="3">
        <v>4.3516162109375003</v>
      </c>
    </row>
    <row r="605" spans="6:6" x14ac:dyDescent="0.2">
      <c r="F605" s="3">
        <v>4.1371142578124989</v>
      </c>
    </row>
    <row r="606" spans="6:6" x14ac:dyDescent="0.2">
      <c r="F606" s="3">
        <v>3.9118872070312491</v>
      </c>
    </row>
    <row r="607" spans="6:6" x14ac:dyDescent="0.2">
      <c r="F607" s="3">
        <v>3.708110351562496</v>
      </c>
    </row>
    <row r="608" spans="6:6" x14ac:dyDescent="0.2">
      <c r="F608" s="3">
        <v>3.708110351562496</v>
      </c>
    </row>
    <row r="609" spans="6:6" x14ac:dyDescent="0.2">
      <c r="F609" s="3">
        <v>3.9226123046874974</v>
      </c>
    </row>
    <row r="610" spans="6:6" x14ac:dyDescent="0.2">
      <c r="F610" s="3">
        <v>4.008413085937498</v>
      </c>
    </row>
    <row r="611" spans="6:6" x14ac:dyDescent="0.2">
      <c r="F611" s="3">
        <v>4.0620385742187466</v>
      </c>
    </row>
    <row r="612" spans="6:6" x14ac:dyDescent="0.2">
      <c r="F612" s="3">
        <v>4.0620385742187466</v>
      </c>
    </row>
    <row r="613" spans="6:6" x14ac:dyDescent="0.2">
      <c r="F613" s="3">
        <v>4.0620385742187466</v>
      </c>
    </row>
    <row r="614" spans="6:6" x14ac:dyDescent="0.2">
      <c r="F614" s="3">
        <v>4.1156640624999952</v>
      </c>
    </row>
    <row r="615" spans="6:6" x14ac:dyDescent="0.2">
      <c r="F615" s="3">
        <v>4.1478393554687472</v>
      </c>
    </row>
    <row r="616" spans="6:6" x14ac:dyDescent="0.2">
      <c r="F616" s="3">
        <v>4.1585644531249955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7A6E-09D6-834A-B14A-60F7A7739A1C}">
  <dimension ref="A1:H309"/>
  <sheetViews>
    <sheetView tabSelected="1" workbookViewId="0">
      <selection activeCell="D309" sqref="D2:D309"/>
    </sheetView>
  </sheetViews>
  <sheetFormatPr baseColWidth="10" defaultRowHeight="15" x14ac:dyDescent="0.2"/>
  <cols>
    <col min="1" max="1" width="8.6640625" customWidth="1"/>
    <col min="2" max="2" width="18.5" style="1" bestFit="1" customWidth="1"/>
    <col min="3" max="3" width="20.5" style="2" bestFit="1" customWidth="1"/>
    <col min="4" max="4" width="24.5" style="3" bestFit="1" customWidth="1"/>
    <col min="7" max="7" width="12.6640625" bestFit="1" customWidth="1"/>
  </cols>
  <sheetData>
    <row r="1" spans="1:8" x14ac:dyDescent="0.2">
      <c r="A1" t="s">
        <v>0</v>
      </c>
      <c r="B1" s="1" t="s">
        <v>1</v>
      </c>
      <c r="C1" s="6" t="s">
        <v>82</v>
      </c>
      <c r="D1" s="7" t="s">
        <v>83</v>
      </c>
      <c r="G1" s="8" t="s">
        <v>84</v>
      </c>
      <c r="H1" s="8" t="s">
        <v>85</v>
      </c>
    </row>
    <row r="2" spans="1:8" x14ac:dyDescent="0.2">
      <c r="A2">
        <v>1</v>
      </c>
      <c r="B2" s="1">
        <v>45692.452488425923</v>
      </c>
      <c r="C2" s="2">
        <v>4.6840942382812472</v>
      </c>
      <c r="D2" s="3">
        <v>5.6386279296875017</v>
      </c>
      <c r="E2">
        <f>MAX(0, MIN(100,100*((EXP((17.625*C2)/(243.04+C2))-(0.00066*(1+0.00115*C2)*(D2-C2)))/(EXP((17.625*D2)/(243.04+D2))))))</f>
        <v>93.535702880706992</v>
      </c>
      <c r="G2">
        <f>AVERAGE(E2:E309)</f>
        <v>91.156047927948464</v>
      </c>
      <c r="H2">
        <f>_xlfn.STDEV.S(E2:E309)</f>
        <v>3.3927736827346293</v>
      </c>
    </row>
    <row r="3" spans="1:8" x14ac:dyDescent="0.2">
      <c r="A3">
        <v>2</v>
      </c>
      <c r="B3" s="1">
        <v>45692.660821759258</v>
      </c>
      <c r="C3" s="2">
        <v>1.9813696289062506</v>
      </c>
      <c r="D3" s="3">
        <v>3.708110351562496</v>
      </c>
      <c r="E3">
        <f t="shared" ref="E3:E66" si="0">MAX(0, MIN(100,100*((EXP((17.625*C3)/(243.04+C3))-(0.00066*(1+0.00115*C3)*(D3-C3)))/(EXP((17.625*D3)/(243.04+D3))))))</f>
        <v>88.396908606418251</v>
      </c>
    </row>
    <row r="4" spans="1:8" x14ac:dyDescent="0.2">
      <c r="A4">
        <v>3</v>
      </c>
      <c r="B4" s="1">
        <v>45692.869155092594</v>
      </c>
      <c r="C4" s="2">
        <v>2.8286523437500009</v>
      </c>
      <c r="D4" s="3">
        <v>4.0298632812500017</v>
      </c>
      <c r="E4">
        <f t="shared" si="0"/>
        <v>91.818767152985131</v>
      </c>
    </row>
    <row r="5" spans="1:8" x14ac:dyDescent="0.2">
      <c r="A5">
        <v>4</v>
      </c>
      <c r="B5" s="1">
        <v>45693.077488425923</v>
      </c>
      <c r="C5" s="2">
        <v>2.9251782226562497</v>
      </c>
      <c r="D5" s="3">
        <v>4.1371142578124989</v>
      </c>
      <c r="E5">
        <f t="shared" si="0"/>
        <v>91.755701376551499</v>
      </c>
    </row>
    <row r="6" spans="1:8" x14ac:dyDescent="0.2">
      <c r="A6">
        <v>5</v>
      </c>
      <c r="B6" s="1">
        <v>45693.285821759258</v>
      </c>
      <c r="C6" s="2">
        <v>2.9466284179687463</v>
      </c>
      <c r="D6" s="3">
        <v>4.1800146484374991</v>
      </c>
      <c r="E6">
        <f t="shared" si="0"/>
        <v>91.618244326541017</v>
      </c>
    </row>
    <row r="7" spans="1:8" x14ac:dyDescent="0.2">
      <c r="A7">
        <v>6</v>
      </c>
      <c r="B7" s="1">
        <v>45693.494155092594</v>
      </c>
      <c r="C7" s="2">
        <v>2.903728027343746</v>
      </c>
      <c r="D7" s="3">
        <v>4.2336401367187477</v>
      </c>
      <c r="E7">
        <f t="shared" si="0"/>
        <v>90.992884628788957</v>
      </c>
    </row>
    <row r="8" spans="1:8" x14ac:dyDescent="0.2">
      <c r="A8">
        <v>7</v>
      </c>
      <c r="B8" s="1">
        <v>45693.702488425923</v>
      </c>
      <c r="C8" s="2">
        <v>2.96807861328125</v>
      </c>
      <c r="D8" s="3">
        <v>4.2872656249999963</v>
      </c>
      <c r="E8">
        <f t="shared" si="0"/>
        <v>91.066511653392183</v>
      </c>
    </row>
    <row r="9" spans="1:8" x14ac:dyDescent="0.2">
      <c r="A9">
        <v>8</v>
      </c>
      <c r="B9" s="1">
        <v>45693.910821759258</v>
      </c>
      <c r="C9" s="2">
        <v>2.4854492187499986</v>
      </c>
      <c r="D9" s="3">
        <v>4.1907397460937474</v>
      </c>
      <c r="E9">
        <f t="shared" si="0"/>
        <v>88.578264249814282</v>
      </c>
    </row>
    <row r="10" spans="1:8" x14ac:dyDescent="0.2">
      <c r="A10">
        <v>9</v>
      </c>
      <c r="B10" s="1">
        <v>45694.119155092594</v>
      </c>
      <c r="C10" s="2">
        <v>2.9251782226562497</v>
      </c>
      <c r="D10" s="3">
        <v>4.276540527343748</v>
      </c>
      <c r="E10">
        <f t="shared" si="0"/>
        <v>90.856814799377943</v>
      </c>
    </row>
    <row r="11" spans="1:8" x14ac:dyDescent="0.2">
      <c r="A11">
        <v>10</v>
      </c>
      <c r="B11" s="1">
        <v>45694.327488425923</v>
      </c>
      <c r="C11" s="2">
        <v>2.8822778320312494</v>
      </c>
      <c r="D11" s="3">
        <v>4.2872656249999963</v>
      </c>
      <c r="E11">
        <f t="shared" si="0"/>
        <v>90.510384417922907</v>
      </c>
    </row>
    <row r="12" spans="1:8" x14ac:dyDescent="0.2">
      <c r="A12">
        <v>11</v>
      </c>
      <c r="B12" s="1">
        <v>45694.535821759258</v>
      </c>
      <c r="C12" s="2">
        <v>2.4532739257812466</v>
      </c>
      <c r="D12" s="3">
        <v>4.2336401367187477</v>
      </c>
      <c r="E12">
        <f t="shared" si="0"/>
        <v>88.10683042769611</v>
      </c>
    </row>
    <row r="13" spans="1:8" x14ac:dyDescent="0.2">
      <c r="A13">
        <v>12</v>
      </c>
      <c r="B13" s="1">
        <v>45694.744155092594</v>
      </c>
      <c r="C13" s="2">
        <v>2.4747241210937503</v>
      </c>
      <c r="D13" s="3">
        <v>4.1371142578124989</v>
      </c>
      <c r="E13">
        <f t="shared" si="0"/>
        <v>88.846166503768998</v>
      </c>
    </row>
    <row r="14" spans="1:8" x14ac:dyDescent="0.2">
      <c r="A14">
        <v>13</v>
      </c>
      <c r="B14" s="1">
        <v>45694.952488425923</v>
      </c>
      <c r="C14" s="2">
        <v>1.1126367187499966</v>
      </c>
      <c r="D14" s="3">
        <v>3.6652099609374957</v>
      </c>
      <c r="E14">
        <f t="shared" si="0"/>
        <v>83.269603967550992</v>
      </c>
    </row>
    <row r="15" spans="1:8" x14ac:dyDescent="0.2">
      <c r="A15">
        <v>14</v>
      </c>
      <c r="B15" s="1">
        <v>45695.160821759258</v>
      </c>
      <c r="C15" s="2">
        <v>2.3031225585937491</v>
      </c>
      <c r="D15" s="3">
        <v>3.7831860351562483</v>
      </c>
      <c r="E15">
        <f t="shared" si="0"/>
        <v>89.985128485182571</v>
      </c>
    </row>
    <row r="16" spans="1:8" x14ac:dyDescent="0.2">
      <c r="A16">
        <v>15</v>
      </c>
      <c r="B16" s="1">
        <v>45695.369155092594</v>
      </c>
      <c r="C16" s="2">
        <v>2.8393774414062491</v>
      </c>
      <c r="D16" s="3">
        <v>4.0834887695312503</v>
      </c>
      <c r="E16">
        <f t="shared" si="0"/>
        <v>91.541436869780924</v>
      </c>
    </row>
    <row r="17" spans="1:5" x14ac:dyDescent="0.2">
      <c r="A17">
        <v>16</v>
      </c>
      <c r="B17" s="1">
        <v>45695.577488425923</v>
      </c>
      <c r="C17" s="2">
        <v>2.5927001953124957</v>
      </c>
      <c r="D17" s="3">
        <v>4.0620385742187466</v>
      </c>
      <c r="E17">
        <f t="shared" si="0"/>
        <v>90.077041266252706</v>
      </c>
    </row>
    <row r="18" spans="1:5" x14ac:dyDescent="0.2">
      <c r="A18">
        <v>17</v>
      </c>
      <c r="B18" s="1">
        <v>45695.785821759258</v>
      </c>
      <c r="C18" s="2">
        <v>2.5068994140624952</v>
      </c>
      <c r="D18" s="3">
        <v>4.1478393554687472</v>
      </c>
      <c r="E18">
        <f t="shared" si="0"/>
        <v>88.983827969149289</v>
      </c>
    </row>
    <row r="19" spans="1:5" x14ac:dyDescent="0.2">
      <c r="A19">
        <v>18</v>
      </c>
      <c r="B19" s="1">
        <v>45695.994155092594</v>
      </c>
      <c r="C19" s="2">
        <v>2.8286523437500009</v>
      </c>
      <c r="D19" s="3">
        <v>4.2014648437499957</v>
      </c>
      <c r="E19">
        <f t="shared" si="0"/>
        <v>90.712078004437089</v>
      </c>
    </row>
    <row r="20" spans="1:5" x14ac:dyDescent="0.2">
      <c r="A20">
        <v>19</v>
      </c>
      <c r="B20" s="1">
        <v>45696.202488425923</v>
      </c>
      <c r="C20" s="2">
        <v>2.7535766601562486</v>
      </c>
      <c r="D20" s="3">
        <v>4.2336401367187477</v>
      </c>
      <c r="E20">
        <f t="shared" si="0"/>
        <v>90.021848805622795</v>
      </c>
    </row>
    <row r="21" spans="1:5" x14ac:dyDescent="0.2">
      <c r="A21">
        <v>20</v>
      </c>
      <c r="B21" s="1">
        <v>45696.410821759258</v>
      </c>
      <c r="C21" s="2">
        <v>2.699951171875</v>
      </c>
      <c r="D21" s="3">
        <v>4.2121899414062511</v>
      </c>
      <c r="E21">
        <f t="shared" si="0"/>
        <v>89.813171392718971</v>
      </c>
    </row>
    <row r="22" spans="1:5" x14ac:dyDescent="0.2">
      <c r="A22">
        <v>21</v>
      </c>
      <c r="B22" s="1">
        <v>45696.619155092594</v>
      </c>
      <c r="C22" s="2">
        <v>2.2065966796875003</v>
      </c>
      <c r="D22" s="3">
        <v>4.0727636718749949</v>
      </c>
      <c r="E22">
        <f t="shared" si="0"/>
        <v>87.550128940077713</v>
      </c>
    </row>
    <row r="23" spans="1:5" x14ac:dyDescent="0.2">
      <c r="A23">
        <v>22</v>
      </c>
      <c r="B23" s="1">
        <v>45696.827488425923</v>
      </c>
      <c r="C23" s="2">
        <v>2.3889233398437497</v>
      </c>
      <c r="D23" s="3">
        <v>4.04058837890625</v>
      </c>
      <c r="E23">
        <f t="shared" si="0"/>
        <v>88.905816633789527</v>
      </c>
    </row>
    <row r="24" spans="1:5" x14ac:dyDescent="0.2">
      <c r="A24">
        <v>23</v>
      </c>
      <c r="B24" s="1">
        <v>45697.035821759258</v>
      </c>
      <c r="C24" s="2">
        <v>1.5845410156249997</v>
      </c>
      <c r="D24" s="3">
        <v>3.7188354492187514</v>
      </c>
      <c r="E24">
        <f t="shared" si="0"/>
        <v>85.837309028205595</v>
      </c>
    </row>
    <row r="25" spans="1:5" x14ac:dyDescent="0.2">
      <c r="A25">
        <v>24</v>
      </c>
      <c r="B25" s="1">
        <v>45697.244155092594</v>
      </c>
      <c r="C25" s="2">
        <v>1.3807641601562466</v>
      </c>
      <c r="D25" s="3">
        <v>3.6544848632812474</v>
      </c>
      <c r="E25">
        <f t="shared" si="0"/>
        <v>84.968548265471128</v>
      </c>
    </row>
    <row r="26" spans="1:5" x14ac:dyDescent="0.2">
      <c r="A26">
        <v>25</v>
      </c>
      <c r="B26" s="1">
        <v>45697.452488425923</v>
      </c>
      <c r="C26" s="2">
        <v>1.4343896484374952</v>
      </c>
      <c r="D26" s="3">
        <v>3.4614331054687497</v>
      </c>
      <c r="E26">
        <f t="shared" si="0"/>
        <v>86.476836982538103</v>
      </c>
    </row>
    <row r="27" spans="1:5" x14ac:dyDescent="0.2">
      <c r="A27">
        <v>26</v>
      </c>
      <c r="B27" s="1">
        <v>45697.660821759258</v>
      </c>
      <c r="C27" s="2">
        <v>2.3138476562499974</v>
      </c>
      <c r="D27" s="3">
        <v>3.8153613281249998</v>
      </c>
      <c r="E27">
        <f t="shared" si="0"/>
        <v>89.849331435238696</v>
      </c>
    </row>
    <row r="28" spans="1:5" x14ac:dyDescent="0.2">
      <c r="A28">
        <v>27</v>
      </c>
      <c r="B28" s="1">
        <v>45697.869155092594</v>
      </c>
      <c r="C28" s="2">
        <v>2.8393774414062491</v>
      </c>
      <c r="D28" s="3">
        <v>4.0513134765624983</v>
      </c>
      <c r="E28">
        <f t="shared" si="0"/>
        <v>91.749887585988716</v>
      </c>
    </row>
    <row r="29" spans="1:5" x14ac:dyDescent="0.2">
      <c r="A29">
        <v>28</v>
      </c>
      <c r="B29" s="1">
        <v>45698.077488425923</v>
      </c>
      <c r="C29" s="2">
        <v>2.635600585937496</v>
      </c>
      <c r="D29" s="3">
        <v>4.0727636718749949</v>
      </c>
      <c r="E29">
        <f t="shared" si="0"/>
        <v>90.285622665957462</v>
      </c>
    </row>
    <row r="30" spans="1:5" x14ac:dyDescent="0.2">
      <c r="A30">
        <v>29</v>
      </c>
      <c r="B30" s="1">
        <v>45698.285821759258</v>
      </c>
      <c r="C30" s="2">
        <v>2.5712499999999991</v>
      </c>
      <c r="D30" s="3">
        <v>4.1049389648437469</v>
      </c>
      <c r="E30">
        <f t="shared" si="0"/>
        <v>89.666436135567579</v>
      </c>
    </row>
    <row r="31" spans="1:5" x14ac:dyDescent="0.2">
      <c r="A31">
        <v>30</v>
      </c>
      <c r="B31" s="1">
        <v>45698.494155092594</v>
      </c>
      <c r="C31" s="2">
        <v>2.5176245117187506</v>
      </c>
      <c r="D31" s="3">
        <v>4.1049389648437469</v>
      </c>
      <c r="E31">
        <f t="shared" si="0"/>
        <v>89.322641307927299</v>
      </c>
    </row>
    <row r="32" spans="1:5" x14ac:dyDescent="0.2">
      <c r="A32">
        <v>31</v>
      </c>
      <c r="B32" s="1">
        <v>45698.702488425923</v>
      </c>
      <c r="C32" s="2">
        <v>1.831218261718746</v>
      </c>
      <c r="D32" s="3">
        <v>3.8904370117187455</v>
      </c>
      <c r="E32">
        <f t="shared" si="0"/>
        <v>86.322932464144429</v>
      </c>
    </row>
    <row r="33" spans="1:5" x14ac:dyDescent="0.2">
      <c r="A33">
        <v>32</v>
      </c>
      <c r="B33" s="1">
        <v>45698.910821759258</v>
      </c>
      <c r="C33" s="2">
        <v>2.3352978515625011</v>
      </c>
      <c r="D33" s="3">
        <v>4.0191381835937463</v>
      </c>
      <c r="E33">
        <f t="shared" si="0"/>
        <v>88.698851312264466</v>
      </c>
    </row>
    <row r="34" spans="1:5" x14ac:dyDescent="0.2">
      <c r="A34">
        <v>33</v>
      </c>
      <c r="B34" s="1">
        <v>45699.119155092594</v>
      </c>
      <c r="C34" s="2">
        <v>1.7561425781250009</v>
      </c>
      <c r="D34" s="3">
        <v>3.6759350585937511</v>
      </c>
      <c r="E34">
        <f t="shared" si="0"/>
        <v>87.172389335346693</v>
      </c>
    </row>
    <row r="35" spans="1:5" x14ac:dyDescent="0.2">
      <c r="A35">
        <v>34</v>
      </c>
      <c r="B35" s="1">
        <v>45699.327488425923</v>
      </c>
      <c r="C35" s="2">
        <v>2.6034252929687511</v>
      </c>
      <c r="D35" s="3">
        <v>3.9655126953124977</v>
      </c>
      <c r="E35">
        <f t="shared" si="0"/>
        <v>90.763809038225446</v>
      </c>
    </row>
    <row r="36" spans="1:5" x14ac:dyDescent="0.2">
      <c r="A36">
        <v>35</v>
      </c>
      <c r="B36" s="1">
        <v>45699.535821759258</v>
      </c>
      <c r="C36" s="2">
        <v>2.0671704101562511</v>
      </c>
      <c r="D36" s="3">
        <v>3.8582617187500006</v>
      </c>
      <c r="E36">
        <f t="shared" si="0"/>
        <v>88.002784549649974</v>
      </c>
    </row>
    <row r="37" spans="1:5" x14ac:dyDescent="0.2">
      <c r="A37">
        <v>36</v>
      </c>
      <c r="B37" s="1">
        <v>45699.744155092594</v>
      </c>
      <c r="C37" s="2">
        <v>2.099345703124996</v>
      </c>
      <c r="D37" s="3">
        <v>3.7939111328124966</v>
      </c>
      <c r="E37">
        <f t="shared" si="0"/>
        <v>88.609817518866251</v>
      </c>
    </row>
    <row r="38" spans="1:5" x14ac:dyDescent="0.2">
      <c r="A38">
        <v>37</v>
      </c>
      <c r="B38" s="1">
        <v>45699.952488425923</v>
      </c>
      <c r="C38" s="2">
        <v>2.43182373046875</v>
      </c>
      <c r="D38" s="3">
        <v>3.9118872070312491</v>
      </c>
      <c r="E38">
        <f t="shared" si="0"/>
        <v>89.995646097094507</v>
      </c>
    </row>
    <row r="39" spans="1:5" x14ac:dyDescent="0.2">
      <c r="A39">
        <v>38</v>
      </c>
      <c r="B39" s="1">
        <v>45700.160821759258</v>
      </c>
      <c r="C39" s="2">
        <v>2.7428515624999998</v>
      </c>
      <c r="D39" s="3">
        <v>4.0620385742187466</v>
      </c>
      <c r="E39">
        <f t="shared" si="0"/>
        <v>91.050028455843417</v>
      </c>
    </row>
    <row r="40" spans="1:5" x14ac:dyDescent="0.2">
      <c r="A40">
        <v>39</v>
      </c>
      <c r="B40" s="1">
        <v>45700.369155092594</v>
      </c>
      <c r="C40" s="2">
        <v>2.5819750976562474</v>
      </c>
      <c r="D40" s="3">
        <v>4.0298632812500017</v>
      </c>
      <c r="E40">
        <f t="shared" si="0"/>
        <v>90.21291287653321</v>
      </c>
    </row>
    <row r="41" spans="1:5" x14ac:dyDescent="0.2">
      <c r="A41">
        <v>40</v>
      </c>
      <c r="B41" s="1">
        <v>45700.577488425923</v>
      </c>
      <c r="C41" s="2">
        <v>2.667775878906248</v>
      </c>
      <c r="D41" s="3">
        <v>4.0620385742187466</v>
      </c>
      <c r="E41">
        <f t="shared" si="0"/>
        <v>90.562396214967862</v>
      </c>
    </row>
    <row r="42" spans="1:5" x14ac:dyDescent="0.2">
      <c r="A42">
        <v>41</v>
      </c>
      <c r="B42" s="1">
        <v>45700.785821759258</v>
      </c>
      <c r="C42" s="2">
        <v>2.5819750976562474</v>
      </c>
      <c r="D42" s="3">
        <v>4.0620385742187466</v>
      </c>
      <c r="E42">
        <f t="shared" si="0"/>
        <v>90.007890207295233</v>
      </c>
    </row>
    <row r="43" spans="1:5" x14ac:dyDescent="0.2">
      <c r="A43">
        <v>42</v>
      </c>
      <c r="B43" s="1">
        <v>45700.994155092594</v>
      </c>
      <c r="C43" s="2">
        <v>2.6034252929687511</v>
      </c>
      <c r="D43" s="3">
        <v>4.0620385742187466</v>
      </c>
      <c r="E43">
        <f t="shared" si="0"/>
        <v>90.146238611954757</v>
      </c>
    </row>
    <row r="44" spans="1:5" x14ac:dyDescent="0.2">
      <c r="A44">
        <v>43</v>
      </c>
      <c r="B44" s="1">
        <v>45701.202488425923</v>
      </c>
      <c r="C44" s="2">
        <v>2.6892260742187517</v>
      </c>
      <c r="D44" s="3">
        <v>4.0834887695312503</v>
      </c>
      <c r="E44">
        <f t="shared" si="0"/>
        <v>90.564050414966786</v>
      </c>
    </row>
    <row r="45" spans="1:5" x14ac:dyDescent="0.2">
      <c r="A45">
        <v>44</v>
      </c>
      <c r="B45" s="1">
        <v>45701.410821759258</v>
      </c>
      <c r="C45" s="2">
        <v>2.0349951171874991</v>
      </c>
      <c r="D45" s="3">
        <v>3.8153613281249998</v>
      </c>
      <c r="E45">
        <f t="shared" si="0"/>
        <v>88.06656898171731</v>
      </c>
    </row>
    <row r="46" spans="1:5" x14ac:dyDescent="0.2">
      <c r="A46">
        <v>45</v>
      </c>
      <c r="B46" s="1">
        <v>45701.619155092594</v>
      </c>
      <c r="C46" s="2">
        <v>1.35931396484375</v>
      </c>
      <c r="D46" s="3">
        <v>3.6115844726562472</v>
      </c>
      <c r="E46">
        <f t="shared" si="0"/>
        <v>85.095482184427979</v>
      </c>
    </row>
    <row r="47" spans="1:5" x14ac:dyDescent="0.2">
      <c r="A47">
        <v>46</v>
      </c>
      <c r="B47" s="1">
        <v>45701.827488425923</v>
      </c>
      <c r="C47" s="2">
        <v>2.6248754882812477</v>
      </c>
      <c r="D47" s="3">
        <v>3.9547875976562494</v>
      </c>
      <c r="E47">
        <f t="shared" si="0"/>
        <v>90.972298801977999</v>
      </c>
    </row>
    <row r="48" spans="1:5" x14ac:dyDescent="0.2">
      <c r="A48">
        <v>47</v>
      </c>
      <c r="B48" s="1">
        <v>45702.035821759258</v>
      </c>
      <c r="C48" s="2">
        <v>2.4210986328125017</v>
      </c>
      <c r="D48" s="3">
        <v>3.9976879882812497</v>
      </c>
      <c r="E48">
        <f t="shared" si="0"/>
        <v>89.382055918465724</v>
      </c>
    </row>
    <row r="49" spans="1:5" x14ac:dyDescent="0.2">
      <c r="A49">
        <v>48</v>
      </c>
      <c r="B49" s="1">
        <v>45702.244155092594</v>
      </c>
      <c r="C49" s="2">
        <v>2.2387719726562452</v>
      </c>
      <c r="D49" s="3">
        <v>3.976237792968746</v>
      </c>
      <c r="E49">
        <f t="shared" si="0"/>
        <v>88.353999596893189</v>
      </c>
    </row>
    <row r="50" spans="1:5" x14ac:dyDescent="0.2">
      <c r="A50">
        <v>49</v>
      </c>
      <c r="B50" s="1">
        <v>45702.452488425923</v>
      </c>
      <c r="C50" s="2">
        <v>2.131520996093748</v>
      </c>
      <c r="D50" s="3">
        <v>3.9118872070312491</v>
      </c>
      <c r="E50">
        <f t="shared" si="0"/>
        <v>88.075883065819568</v>
      </c>
    </row>
    <row r="51" spans="1:5" x14ac:dyDescent="0.2">
      <c r="A51">
        <v>50</v>
      </c>
      <c r="B51" s="1">
        <v>45702.660821759258</v>
      </c>
      <c r="C51" s="2">
        <v>2.3567480468749977</v>
      </c>
      <c r="D51" s="3">
        <v>3.9869628906250014</v>
      </c>
      <c r="E51">
        <f t="shared" si="0"/>
        <v>89.037942640592348</v>
      </c>
    </row>
    <row r="52" spans="1:5" x14ac:dyDescent="0.2">
      <c r="A52">
        <v>51</v>
      </c>
      <c r="B52" s="1">
        <v>45702.869155092594</v>
      </c>
      <c r="C52" s="2">
        <v>2.4747241210937503</v>
      </c>
      <c r="D52" s="3">
        <v>4.04058837890625</v>
      </c>
      <c r="E52">
        <f t="shared" si="0"/>
        <v>89.454505756215113</v>
      </c>
    </row>
    <row r="53" spans="1:5" x14ac:dyDescent="0.2">
      <c r="A53">
        <v>52</v>
      </c>
      <c r="B53" s="1">
        <v>45703.077488425923</v>
      </c>
      <c r="C53" s="2">
        <v>2.5605249023437509</v>
      </c>
      <c r="D53" s="3">
        <v>4.0620385742187466</v>
      </c>
      <c r="E53">
        <f t="shared" si="0"/>
        <v>89.869726842088241</v>
      </c>
    </row>
    <row r="54" spans="1:5" x14ac:dyDescent="0.2">
      <c r="A54">
        <v>53</v>
      </c>
      <c r="B54" s="1">
        <v>45703.285821759258</v>
      </c>
      <c r="C54" s="2">
        <v>2.5390747070312472</v>
      </c>
      <c r="D54" s="3">
        <v>4.0834887695312503</v>
      </c>
      <c r="E54">
        <f t="shared" si="0"/>
        <v>89.595770029554927</v>
      </c>
    </row>
    <row r="55" spans="1:5" x14ac:dyDescent="0.2">
      <c r="A55">
        <v>54</v>
      </c>
      <c r="B55" s="1">
        <v>45703.494155092594</v>
      </c>
      <c r="C55" s="2">
        <v>2.5712499999999991</v>
      </c>
      <c r="D55" s="3">
        <v>4.1049389648437469</v>
      </c>
      <c r="E55">
        <f t="shared" si="0"/>
        <v>89.666436135567579</v>
      </c>
    </row>
    <row r="56" spans="1:5" x14ac:dyDescent="0.2">
      <c r="A56">
        <v>55</v>
      </c>
      <c r="B56" s="1">
        <v>45703.702488425923</v>
      </c>
      <c r="C56" s="2">
        <v>2.2173217773437486</v>
      </c>
      <c r="D56" s="3">
        <v>3.9440625000000011</v>
      </c>
      <c r="E56">
        <f t="shared" si="0"/>
        <v>88.419075872435997</v>
      </c>
    </row>
    <row r="57" spans="1:5" x14ac:dyDescent="0.2">
      <c r="A57">
        <v>56</v>
      </c>
      <c r="B57" s="1">
        <v>45703.910821759258</v>
      </c>
      <c r="C57" s="2">
        <v>2.1744213867187483</v>
      </c>
      <c r="D57" s="3">
        <v>3.9333374023437457</v>
      </c>
      <c r="E57">
        <f t="shared" si="0"/>
        <v>88.213861595311499</v>
      </c>
    </row>
    <row r="58" spans="1:5" x14ac:dyDescent="0.2">
      <c r="A58">
        <v>57</v>
      </c>
      <c r="B58" s="1">
        <v>45704.119155092594</v>
      </c>
      <c r="C58" s="2">
        <v>2.099345703124996</v>
      </c>
      <c r="D58" s="3">
        <v>3.8368115234374969</v>
      </c>
      <c r="E58">
        <f t="shared" si="0"/>
        <v>88.340844364050582</v>
      </c>
    </row>
    <row r="59" spans="1:5" x14ac:dyDescent="0.2">
      <c r="A59">
        <v>58</v>
      </c>
      <c r="B59" s="1">
        <v>45704.327488425923</v>
      </c>
      <c r="C59" s="2">
        <v>1.2520629882812457</v>
      </c>
      <c r="D59" s="3">
        <v>3.5150585937499983</v>
      </c>
      <c r="E59">
        <f t="shared" si="0"/>
        <v>85.017871170070109</v>
      </c>
    </row>
    <row r="60" spans="1:5" x14ac:dyDescent="0.2">
      <c r="A60">
        <v>59</v>
      </c>
      <c r="B60" s="1">
        <v>45704.535821759258</v>
      </c>
      <c r="C60" s="2">
        <v>1.294963378906246</v>
      </c>
      <c r="D60" s="3">
        <v>3.4292578124999977</v>
      </c>
      <c r="E60">
        <f t="shared" si="0"/>
        <v>85.804382537272929</v>
      </c>
    </row>
    <row r="61" spans="1:5" x14ac:dyDescent="0.2">
      <c r="A61">
        <v>60</v>
      </c>
      <c r="B61" s="1">
        <v>45704.744155092594</v>
      </c>
      <c r="C61" s="2">
        <v>1.1233618164062449</v>
      </c>
      <c r="D61" s="3">
        <v>3.2576562499999966</v>
      </c>
      <c r="E61">
        <f t="shared" si="0"/>
        <v>85.784800915421485</v>
      </c>
    </row>
    <row r="62" spans="1:5" x14ac:dyDescent="0.2">
      <c r="A62">
        <v>61</v>
      </c>
      <c r="B62" s="1">
        <v>45704.952488425923</v>
      </c>
      <c r="C62" s="2">
        <v>1.9277441406249949</v>
      </c>
      <c r="D62" s="3">
        <v>3.6115844726562472</v>
      </c>
      <c r="E62">
        <f t="shared" si="0"/>
        <v>88.66140944608712</v>
      </c>
    </row>
    <row r="63" spans="1:5" x14ac:dyDescent="0.2">
      <c r="A63">
        <v>62</v>
      </c>
      <c r="B63" s="1">
        <v>45705.160821759258</v>
      </c>
      <c r="C63" s="2">
        <v>1.5738159179687514</v>
      </c>
      <c r="D63" s="3">
        <v>3.5150585937499983</v>
      </c>
      <c r="E63">
        <f t="shared" si="0"/>
        <v>87.020749866960358</v>
      </c>
    </row>
    <row r="64" spans="1:5" x14ac:dyDescent="0.2">
      <c r="A64">
        <v>63</v>
      </c>
      <c r="B64" s="1">
        <v>45705.369155092594</v>
      </c>
      <c r="C64" s="2">
        <v>0.63000732421874517</v>
      </c>
      <c r="D64" s="3">
        <v>3.0753295898437472</v>
      </c>
      <c r="E64">
        <f t="shared" si="0"/>
        <v>83.844368518529052</v>
      </c>
    </row>
    <row r="65" spans="1:5" x14ac:dyDescent="0.2">
      <c r="A65">
        <v>64</v>
      </c>
      <c r="B65" s="1">
        <v>45705.577488425923</v>
      </c>
      <c r="C65" s="2">
        <v>0.24390380859374972</v>
      </c>
      <c r="D65" s="3">
        <v>2.8393774414062491</v>
      </c>
      <c r="E65">
        <f t="shared" si="0"/>
        <v>82.899115387783368</v>
      </c>
    </row>
    <row r="66" spans="1:5" x14ac:dyDescent="0.2">
      <c r="A66">
        <v>65</v>
      </c>
      <c r="B66" s="1">
        <v>45705.785821759258</v>
      </c>
      <c r="C66" s="2">
        <v>1.8419433593750014</v>
      </c>
      <c r="D66" s="3">
        <v>3.2791064453125003</v>
      </c>
      <c r="E66">
        <f t="shared" si="0"/>
        <v>90.22230956648994</v>
      </c>
    </row>
    <row r="67" spans="1:5" x14ac:dyDescent="0.2">
      <c r="A67">
        <v>66</v>
      </c>
      <c r="B67" s="1">
        <v>45705.994155092594</v>
      </c>
      <c r="C67" s="2">
        <v>1.2091625976562455</v>
      </c>
      <c r="D67" s="3">
        <v>3.2469311523437483</v>
      </c>
      <c r="E67">
        <f t="shared" ref="E67:E130" si="1">MAX(0, MIN(100,100*((EXP((17.625*C67)/(243.04+C67))-(0.00066*(1+0.00115*C67)*(D67-C67)))/(EXP((17.625*D67)/(243.04+D67))))))</f>
        <v>86.38624978340259</v>
      </c>
    </row>
    <row r="68" spans="1:5" x14ac:dyDescent="0.2">
      <c r="A68">
        <v>67</v>
      </c>
      <c r="B68" s="1">
        <v>45706.202488425923</v>
      </c>
      <c r="C68" s="2">
        <v>0.74798339843749773</v>
      </c>
      <c r="D68" s="3">
        <v>3.0324291992187469</v>
      </c>
      <c r="E68">
        <f t="shared" si="1"/>
        <v>84.827313667721043</v>
      </c>
    </row>
    <row r="69" spans="1:5" x14ac:dyDescent="0.2">
      <c r="A69">
        <v>68</v>
      </c>
      <c r="B69" s="1">
        <v>45706.410821759258</v>
      </c>
      <c r="C69" s="2">
        <v>0.24390380859374972</v>
      </c>
      <c r="D69" s="3">
        <v>2.7964770507812489</v>
      </c>
      <c r="E69">
        <f t="shared" si="1"/>
        <v>83.153845037118458</v>
      </c>
    </row>
    <row r="70" spans="1:5" x14ac:dyDescent="0.2">
      <c r="A70">
        <v>69</v>
      </c>
      <c r="B70" s="1">
        <v>45706.619155092594</v>
      </c>
      <c r="C70" s="2">
        <v>-6.7124023437500568E-2</v>
      </c>
      <c r="D70" s="3">
        <v>2.5605249023437509</v>
      </c>
      <c r="E70">
        <f t="shared" si="1"/>
        <v>82.665831075953534</v>
      </c>
    </row>
    <row r="71" spans="1:5" x14ac:dyDescent="0.2">
      <c r="A71">
        <v>70</v>
      </c>
      <c r="B71" s="1">
        <v>45706.827488425923</v>
      </c>
      <c r="C71" s="2">
        <v>0.98393554687499574</v>
      </c>
      <c r="D71" s="3">
        <v>2.903728027343746</v>
      </c>
      <c r="E71">
        <f t="shared" si="1"/>
        <v>87.092011348754127</v>
      </c>
    </row>
    <row r="72" spans="1:5" x14ac:dyDescent="0.2">
      <c r="A72">
        <v>71</v>
      </c>
      <c r="B72" s="1">
        <v>45707.035821759258</v>
      </c>
      <c r="C72" s="2">
        <v>0.49058105468749602</v>
      </c>
      <c r="D72" s="3">
        <v>2.7643017578124969</v>
      </c>
      <c r="E72">
        <f t="shared" si="1"/>
        <v>84.861028930751075</v>
      </c>
    </row>
    <row r="73" spans="1:5" x14ac:dyDescent="0.2">
      <c r="A73">
        <v>72</v>
      </c>
      <c r="B73" s="1">
        <v>45707.244155092594</v>
      </c>
      <c r="C73" s="2">
        <v>1.1019116210937483</v>
      </c>
      <c r="D73" s="3">
        <v>2.903728027343746</v>
      </c>
      <c r="E73">
        <f t="shared" si="1"/>
        <v>87.84111047627124</v>
      </c>
    </row>
    <row r="74" spans="1:5" x14ac:dyDescent="0.2">
      <c r="A74">
        <v>73</v>
      </c>
      <c r="B74" s="1">
        <v>45707.452488425923</v>
      </c>
      <c r="C74" s="2">
        <v>1.4343896484374952</v>
      </c>
      <c r="D74" s="3">
        <v>3.1075048828124991</v>
      </c>
      <c r="E74">
        <f t="shared" si="1"/>
        <v>88.683550689718501</v>
      </c>
    </row>
    <row r="75" spans="1:5" x14ac:dyDescent="0.2">
      <c r="A75">
        <v>74</v>
      </c>
      <c r="B75" s="1">
        <v>45707.660821759258</v>
      </c>
      <c r="C75" s="2">
        <v>1.5309155273437511</v>
      </c>
      <c r="D75" s="3">
        <v>3.171855468749996</v>
      </c>
      <c r="E75">
        <f t="shared" si="1"/>
        <v>88.896006909940581</v>
      </c>
    </row>
    <row r="76" spans="1:5" x14ac:dyDescent="0.2">
      <c r="A76">
        <v>75</v>
      </c>
      <c r="B76" s="1">
        <v>45707.869155092594</v>
      </c>
      <c r="C76" s="2">
        <v>1.4665649414062472</v>
      </c>
      <c r="D76" s="3">
        <v>3.204030761718748</v>
      </c>
      <c r="E76">
        <f t="shared" si="1"/>
        <v>88.280781620471345</v>
      </c>
    </row>
    <row r="77" spans="1:5" x14ac:dyDescent="0.2">
      <c r="A77">
        <v>76</v>
      </c>
      <c r="B77" s="1">
        <v>45708.077488425923</v>
      </c>
      <c r="C77" s="2">
        <v>1.2413378906249974</v>
      </c>
      <c r="D77" s="3">
        <v>3.171855468749996</v>
      </c>
      <c r="E77">
        <f t="shared" si="1"/>
        <v>87.052344684523149</v>
      </c>
    </row>
    <row r="78" spans="1:5" x14ac:dyDescent="0.2">
      <c r="A78">
        <v>77</v>
      </c>
      <c r="B78" s="1">
        <v>45708.285821759258</v>
      </c>
      <c r="C78" s="2">
        <v>0.84450927734374659</v>
      </c>
      <c r="D78" s="3">
        <v>2.9895288085937466</v>
      </c>
      <c r="E78">
        <f t="shared" si="1"/>
        <v>85.687233915345985</v>
      </c>
    </row>
    <row r="79" spans="1:5" x14ac:dyDescent="0.2">
      <c r="A79">
        <v>78</v>
      </c>
      <c r="B79" s="1">
        <v>45708.494155092594</v>
      </c>
      <c r="C79" s="2">
        <v>0.80160888671874631</v>
      </c>
      <c r="D79" s="3">
        <v>2.9895288085937466</v>
      </c>
      <c r="E79">
        <f t="shared" si="1"/>
        <v>85.420223332448316</v>
      </c>
    </row>
    <row r="80" spans="1:5" x14ac:dyDescent="0.2">
      <c r="A80">
        <v>79</v>
      </c>
      <c r="B80" s="1">
        <v>45708.702488425923</v>
      </c>
      <c r="C80" s="2">
        <v>1.1555371093749969</v>
      </c>
      <c r="D80" s="3">
        <v>3.0538793945312506</v>
      </c>
      <c r="E80">
        <f t="shared" si="1"/>
        <v>87.243346037191131</v>
      </c>
    </row>
    <row r="81" spans="1:5" x14ac:dyDescent="0.2">
      <c r="A81">
        <v>80</v>
      </c>
      <c r="B81" s="1">
        <v>45708.910821759258</v>
      </c>
      <c r="C81" s="2">
        <v>2.2387719726562452</v>
      </c>
      <c r="D81" s="3">
        <v>3.3970825195312457</v>
      </c>
      <c r="E81">
        <f t="shared" si="1"/>
        <v>92.059216039753679</v>
      </c>
    </row>
    <row r="82" spans="1:5" x14ac:dyDescent="0.2">
      <c r="A82">
        <v>81</v>
      </c>
      <c r="B82" s="1">
        <v>45709.119155092594</v>
      </c>
      <c r="C82" s="2">
        <v>2.2494970703125006</v>
      </c>
      <c r="D82" s="3">
        <v>3.4828833007812463</v>
      </c>
      <c r="E82">
        <f t="shared" si="1"/>
        <v>91.570037150009242</v>
      </c>
    </row>
    <row r="83" spans="1:5" x14ac:dyDescent="0.2">
      <c r="A83">
        <v>82</v>
      </c>
      <c r="B83" s="1">
        <v>45709.327488425923</v>
      </c>
      <c r="C83" s="2">
        <v>2.2173217773437486</v>
      </c>
      <c r="D83" s="3">
        <v>3.6008593749999989</v>
      </c>
      <c r="E83">
        <f t="shared" si="1"/>
        <v>90.596471150398017</v>
      </c>
    </row>
    <row r="84" spans="1:5" x14ac:dyDescent="0.2">
      <c r="A84">
        <v>83</v>
      </c>
      <c r="B84" s="1">
        <v>45709.535821759258</v>
      </c>
      <c r="C84" s="2">
        <v>2.2065966796875003</v>
      </c>
      <c r="D84" s="3">
        <v>3.6223095703124955</v>
      </c>
      <c r="E84">
        <f t="shared" si="1"/>
        <v>90.388980462480902</v>
      </c>
    </row>
    <row r="85" spans="1:5" x14ac:dyDescent="0.2">
      <c r="A85">
        <v>84</v>
      </c>
      <c r="B85" s="1">
        <v>45709.744155092594</v>
      </c>
      <c r="C85" s="2">
        <v>2.3352978515625011</v>
      </c>
      <c r="D85" s="3">
        <v>3.6973852539062477</v>
      </c>
      <c r="E85">
        <f t="shared" si="1"/>
        <v>90.743493253148614</v>
      </c>
    </row>
    <row r="86" spans="1:5" x14ac:dyDescent="0.2">
      <c r="A86">
        <v>85</v>
      </c>
      <c r="B86" s="1">
        <v>45709.952488425923</v>
      </c>
      <c r="C86" s="2">
        <v>2.3781982421875014</v>
      </c>
      <c r="D86" s="3">
        <v>3.7510107421874963</v>
      </c>
      <c r="E86">
        <f t="shared" si="1"/>
        <v>90.677778202125594</v>
      </c>
    </row>
    <row r="87" spans="1:5" x14ac:dyDescent="0.2">
      <c r="A87">
        <v>86</v>
      </c>
      <c r="B87" s="1">
        <v>45710.160821759258</v>
      </c>
      <c r="C87" s="2">
        <v>2.2602221679687489</v>
      </c>
      <c r="D87" s="3">
        <v>3.7510107421874963</v>
      </c>
      <c r="E87">
        <f t="shared" si="1"/>
        <v>89.91322370649732</v>
      </c>
    </row>
    <row r="88" spans="1:5" x14ac:dyDescent="0.2">
      <c r="A88">
        <v>87</v>
      </c>
      <c r="B88" s="1">
        <v>45710.369155092594</v>
      </c>
      <c r="C88" s="2">
        <v>2.2280468749999969</v>
      </c>
      <c r="D88" s="3">
        <v>3.7510107421874963</v>
      </c>
      <c r="E88">
        <f t="shared" si="1"/>
        <v>89.705686093931376</v>
      </c>
    </row>
    <row r="89" spans="1:5" x14ac:dyDescent="0.2">
      <c r="A89">
        <v>88</v>
      </c>
      <c r="B89" s="1">
        <v>45710.577488425923</v>
      </c>
      <c r="C89" s="2">
        <v>2.4532739257812466</v>
      </c>
      <c r="D89" s="3">
        <v>3.8368115234374969</v>
      </c>
      <c r="E89">
        <f t="shared" si="1"/>
        <v>90.614638617716508</v>
      </c>
    </row>
    <row r="90" spans="1:5" x14ac:dyDescent="0.2">
      <c r="A90">
        <v>89</v>
      </c>
      <c r="B90" s="1">
        <v>45710.785821759258</v>
      </c>
      <c r="C90" s="2">
        <v>2.7643017578124969</v>
      </c>
      <c r="D90" s="3">
        <v>3.976237792968746</v>
      </c>
      <c r="E90">
        <f t="shared" si="1"/>
        <v>91.744794173216476</v>
      </c>
    </row>
    <row r="91" spans="1:5" x14ac:dyDescent="0.2">
      <c r="A91">
        <v>90</v>
      </c>
      <c r="B91" s="1">
        <v>45710.994155092594</v>
      </c>
      <c r="C91" s="2">
        <v>2.6785009765624963</v>
      </c>
      <c r="D91" s="3">
        <v>3.976237792968746</v>
      </c>
      <c r="E91">
        <f t="shared" si="1"/>
        <v>91.183571364798439</v>
      </c>
    </row>
    <row r="92" spans="1:5" x14ac:dyDescent="0.2">
      <c r="A92">
        <v>91</v>
      </c>
      <c r="B92" s="1">
        <v>45711.202488425923</v>
      </c>
      <c r="C92" s="2">
        <v>2.6892260742187517</v>
      </c>
      <c r="D92" s="3">
        <v>3.9547875976562494</v>
      </c>
      <c r="E92">
        <f t="shared" si="1"/>
        <v>91.392162463018551</v>
      </c>
    </row>
    <row r="93" spans="1:5" x14ac:dyDescent="0.2">
      <c r="A93">
        <v>92</v>
      </c>
      <c r="B93" s="1">
        <v>45711.410821759258</v>
      </c>
      <c r="C93" s="2">
        <v>2.5497998046874955</v>
      </c>
      <c r="D93" s="3">
        <v>3.9440625000000011</v>
      </c>
      <c r="E93">
        <f t="shared" si="1"/>
        <v>90.553288304840791</v>
      </c>
    </row>
    <row r="94" spans="1:5" x14ac:dyDescent="0.2">
      <c r="A94">
        <v>93</v>
      </c>
      <c r="B94" s="1">
        <v>45711.619155092594</v>
      </c>
      <c r="C94" s="2">
        <v>3.0324291992187469</v>
      </c>
      <c r="D94" s="3">
        <v>4.0942138671874986</v>
      </c>
      <c r="E94">
        <f t="shared" si="1"/>
        <v>92.741254932686942</v>
      </c>
    </row>
    <row r="95" spans="1:5" x14ac:dyDescent="0.2">
      <c r="A95">
        <v>94</v>
      </c>
      <c r="B95" s="1">
        <v>45711.827488425923</v>
      </c>
      <c r="C95" s="2">
        <v>3.0538793945312506</v>
      </c>
      <c r="D95" s="3">
        <v>4.1478393554687472</v>
      </c>
      <c r="E95">
        <f t="shared" si="1"/>
        <v>92.531966552211458</v>
      </c>
    </row>
    <row r="96" spans="1:5" x14ac:dyDescent="0.2">
      <c r="A96">
        <v>95</v>
      </c>
      <c r="B96" s="1">
        <v>45712.035821759258</v>
      </c>
      <c r="C96" s="2">
        <v>2.9895288085937466</v>
      </c>
      <c r="D96" s="3">
        <v>4.0727636718749949</v>
      </c>
      <c r="E96">
        <f t="shared" si="1"/>
        <v>92.598171136014969</v>
      </c>
    </row>
    <row r="97" spans="1:5" x14ac:dyDescent="0.2">
      <c r="A97">
        <v>96</v>
      </c>
      <c r="B97" s="1">
        <v>45712.244155092594</v>
      </c>
      <c r="C97" s="2">
        <v>3.6544848632812474</v>
      </c>
      <c r="D97" s="3">
        <v>4.3516162109375003</v>
      </c>
      <c r="E97">
        <f t="shared" si="1"/>
        <v>95.190871104897681</v>
      </c>
    </row>
    <row r="98" spans="1:5" x14ac:dyDescent="0.2">
      <c r="A98">
        <v>97</v>
      </c>
      <c r="B98" s="1">
        <v>45712.452488425923</v>
      </c>
      <c r="C98" s="2">
        <v>4.2550903320312514</v>
      </c>
      <c r="D98" s="3">
        <v>4.6840942382812472</v>
      </c>
      <c r="E98">
        <f t="shared" si="1"/>
        <v>97.024411729268607</v>
      </c>
    </row>
    <row r="99" spans="1:5" x14ac:dyDescent="0.2">
      <c r="A99">
        <v>98</v>
      </c>
      <c r="B99" s="1">
        <v>45712.660821759258</v>
      </c>
      <c r="C99" s="2">
        <v>4.3623413085937486</v>
      </c>
      <c r="D99" s="3">
        <v>4.6948193359374955</v>
      </c>
      <c r="E99">
        <f t="shared" si="1"/>
        <v>97.687304251942109</v>
      </c>
    </row>
    <row r="100" spans="1:5" x14ac:dyDescent="0.2">
      <c r="A100">
        <v>99</v>
      </c>
      <c r="B100" s="1">
        <v>45712.869155092594</v>
      </c>
      <c r="C100" s="2">
        <v>4.4159667968749972</v>
      </c>
      <c r="D100" s="3">
        <v>4.7269946289062474</v>
      </c>
      <c r="E100">
        <f t="shared" si="1"/>
        <v>97.835674568792655</v>
      </c>
    </row>
    <row r="101" spans="1:5" x14ac:dyDescent="0.2">
      <c r="A101">
        <v>100</v>
      </c>
      <c r="B101" s="1">
        <v>45713.077488425923</v>
      </c>
      <c r="C101" s="2">
        <v>4.04058837890625</v>
      </c>
      <c r="D101" s="3">
        <v>4.57684326171875</v>
      </c>
      <c r="E101">
        <f t="shared" si="1"/>
        <v>96.289376088290012</v>
      </c>
    </row>
    <row r="102" spans="1:5" x14ac:dyDescent="0.2">
      <c r="A102">
        <v>101</v>
      </c>
      <c r="B102" s="1">
        <v>45713.285821759258</v>
      </c>
      <c r="C102" s="2">
        <v>3.4078076171875011</v>
      </c>
      <c r="D102" s="3">
        <v>4.3623413085937486</v>
      </c>
      <c r="E102">
        <f t="shared" si="1"/>
        <v>93.467473165521852</v>
      </c>
    </row>
    <row r="103" spans="1:5" x14ac:dyDescent="0.2">
      <c r="A103">
        <v>102</v>
      </c>
      <c r="B103" s="1">
        <v>45713.494155092594</v>
      </c>
      <c r="C103" s="2">
        <v>3.2576562499999966</v>
      </c>
      <c r="D103" s="3">
        <v>4.3301660156249966</v>
      </c>
      <c r="E103">
        <f t="shared" si="1"/>
        <v>92.684587208092694</v>
      </c>
    </row>
    <row r="104" spans="1:5" x14ac:dyDescent="0.2">
      <c r="A104">
        <v>103</v>
      </c>
      <c r="B104" s="1">
        <v>45713.702488425923</v>
      </c>
      <c r="C104" s="2">
        <v>3.3327319335937489</v>
      </c>
      <c r="D104" s="3">
        <v>4.3945166015625006</v>
      </c>
      <c r="E104">
        <f t="shared" si="1"/>
        <v>92.759203936956411</v>
      </c>
    </row>
    <row r="105" spans="1:5" x14ac:dyDescent="0.2">
      <c r="A105">
        <v>104</v>
      </c>
      <c r="B105" s="1">
        <v>45713.910821759258</v>
      </c>
      <c r="C105" s="2">
        <v>3.2791064453125003</v>
      </c>
      <c r="D105" s="3">
        <v>4.2979907226562517</v>
      </c>
      <c r="E105">
        <f t="shared" si="1"/>
        <v>93.037098042537679</v>
      </c>
    </row>
    <row r="106" spans="1:5" x14ac:dyDescent="0.2">
      <c r="A106">
        <v>105</v>
      </c>
      <c r="B106" s="1">
        <v>45714.119155092594</v>
      </c>
      <c r="C106" s="2">
        <v>3.171855468749996</v>
      </c>
      <c r="D106" s="3">
        <v>4.276540527343748</v>
      </c>
      <c r="E106">
        <f t="shared" si="1"/>
        <v>92.469214060729229</v>
      </c>
    </row>
    <row r="107" spans="1:5" x14ac:dyDescent="0.2">
      <c r="A107">
        <v>106</v>
      </c>
      <c r="B107" s="1">
        <v>45714.327488425923</v>
      </c>
      <c r="C107" s="2">
        <v>3.2898315429687486</v>
      </c>
      <c r="D107" s="3">
        <v>4.3408911132812449</v>
      </c>
      <c r="E107">
        <f t="shared" si="1"/>
        <v>92.826823461235804</v>
      </c>
    </row>
    <row r="108" spans="1:5" x14ac:dyDescent="0.2">
      <c r="A108">
        <v>107</v>
      </c>
      <c r="B108" s="1">
        <v>45714.535821759258</v>
      </c>
      <c r="C108" s="2">
        <v>4.1692895507812509</v>
      </c>
      <c r="D108" s="3">
        <v>4.6840942382812472</v>
      </c>
      <c r="E108">
        <f t="shared" si="1"/>
        <v>96.438654834327664</v>
      </c>
    </row>
    <row r="109" spans="1:5" x14ac:dyDescent="0.2">
      <c r="A109">
        <v>108</v>
      </c>
      <c r="B109" s="1">
        <v>45714.744155092594</v>
      </c>
      <c r="C109" s="2">
        <v>4.544667968749998</v>
      </c>
      <c r="D109" s="3">
        <v>4.844970703125</v>
      </c>
      <c r="E109">
        <f t="shared" si="1"/>
        <v>97.911691386743982</v>
      </c>
    </row>
    <row r="110" spans="1:5" x14ac:dyDescent="0.2">
      <c r="A110">
        <v>109</v>
      </c>
      <c r="B110" s="1">
        <v>45714.952488425923</v>
      </c>
      <c r="C110" s="2">
        <v>3.8582617187500006</v>
      </c>
      <c r="D110" s="3">
        <v>4.6197436523437503</v>
      </c>
      <c r="E110">
        <f t="shared" si="1"/>
        <v>94.76895922452681</v>
      </c>
    </row>
    <row r="111" spans="1:5" x14ac:dyDescent="0.2">
      <c r="A111">
        <v>110</v>
      </c>
      <c r="B111" s="1">
        <v>45715.160821759258</v>
      </c>
      <c r="C111" s="2">
        <v>3.6973852539062477</v>
      </c>
      <c r="D111" s="3">
        <v>4.5232177734375014</v>
      </c>
      <c r="E111">
        <f t="shared" si="1"/>
        <v>94.333516604019081</v>
      </c>
    </row>
    <row r="112" spans="1:5" x14ac:dyDescent="0.2">
      <c r="A112">
        <v>111</v>
      </c>
      <c r="B112" s="1">
        <v>45715.369155092594</v>
      </c>
      <c r="C112" s="2">
        <v>3.4078076171875011</v>
      </c>
      <c r="D112" s="3">
        <v>4.4374169921875009</v>
      </c>
      <c r="E112">
        <f t="shared" si="1"/>
        <v>92.974194959202478</v>
      </c>
    </row>
    <row r="113" spans="1:5" x14ac:dyDescent="0.2">
      <c r="A113">
        <v>112</v>
      </c>
      <c r="B113" s="1">
        <v>45715.577488425923</v>
      </c>
      <c r="C113" s="2">
        <v>3.2147558593749963</v>
      </c>
      <c r="D113" s="3">
        <v>4.3194409179687483</v>
      </c>
      <c r="E113">
        <f t="shared" si="1"/>
        <v>92.471872649874342</v>
      </c>
    </row>
    <row r="114" spans="1:5" x14ac:dyDescent="0.2">
      <c r="A114">
        <v>113</v>
      </c>
      <c r="B114" s="1">
        <v>45715.785821759258</v>
      </c>
      <c r="C114" s="2">
        <v>3.0538793945312506</v>
      </c>
      <c r="D114" s="3">
        <v>4.1371142578124989</v>
      </c>
      <c r="E114">
        <f t="shared" si="1"/>
        <v>92.602098409827079</v>
      </c>
    </row>
    <row r="115" spans="1:5" x14ac:dyDescent="0.2">
      <c r="A115">
        <v>114</v>
      </c>
      <c r="B115" s="1">
        <v>45715.994155092594</v>
      </c>
      <c r="C115" s="2">
        <v>3.1182299804687474</v>
      </c>
      <c r="D115" s="3">
        <v>4.1692895507812509</v>
      </c>
      <c r="E115">
        <f t="shared" si="1"/>
        <v>92.816665571845135</v>
      </c>
    </row>
    <row r="116" spans="1:5" x14ac:dyDescent="0.2">
      <c r="A116">
        <v>115</v>
      </c>
      <c r="B116" s="1">
        <v>45716.202488425923</v>
      </c>
      <c r="C116" s="2">
        <v>2.8822778320312494</v>
      </c>
      <c r="D116" s="3">
        <v>4.1692895507812509</v>
      </c>
      <c r="E116">
        <f t="shared" si="1"/>
        <v>91.267392823295168</v>
      </c>
    </row>
    <row r="117" spans="1:5" x14ac:dyDescent="0.2">
      <c r="A117">
        <v>116</v>
      </c>
      <c r="B117" s="1">
        <v>45716.410821759258</v>
      </c>
      <c r="C117" s="2">
        <v>3.740285644531248</v>
      </c>
      <c r="D117" s="3">
        <v>4.4588671874999974</v>
      </c>
      <c r="E117">
        <f t="shared" si="1"/>
        <v>95.05057357324101</v>
      </c>
    </row>
    <row r="118" spans="1:5" x14ac:dyDescent="0.2">
      <c r="A118">
        <v>117</v>
      </c>
      <c r="B118" s="1">
        <v>45716.619155092594</v>
      </c>
      <c r="C118" s="2">
        <v>2.903728027343746</v>
      </c>
      <c r="D118" s="3">
        <v>4.2336401367187477</v>
      </c>
      <c r="E118">
        <f t="shared" si="1"/>
        <v>90.992884628788957</v>
      </c>
    </row>
    <row r="119" spans="1:5" x14ac:dyDescent="0.2">
      <c r="A119">
        <v>118</v>
      </c>
      <c r="B119" s="1">
        <v>45716.827488425923</v>
      </c>
      <c r="C119" s="2">
        <v>1.327138671874998</v>
      </c>
      <c r="D119" s="3">
        <v>3.5686840820312469</v>
      </c>
      <c r="E119">
        <f t="shared" si="1"/>
        <v>85.156501721338628</v>
      </c>
    </row>
    <row r="120" spans="1:5" x14ac:dyDescent="0.2">
      <c r="A120">
        <v>119</v>
      </c>
      <c r="B120" s="1">
        <v>45717.035821759258</v>
      </c>
      <c r="C120" s="2">
        <v>0.56565673828124829</v>
      </c>
      <c r="D120" s="3">
        <v>3.0753295898437472</v>
      </c>
      <c r="E120">
        <f t="shared" si="1"/>
        <v>83.451917262360325</v>
      </c>
    </row>
    <row r="121" spans="1:5" x14ac:dyDescent="0.2">
      <c r="A121">
        <v>120</v>
      </c>
      <c r="B121" s="1">
        <v>45717.244155092594</v>
      </c>
      <c r="C121" s="2">
        <v>1.0697363281249963</v>
      </c>
      <c r="D121" s="3">
        <v>3.0431542968749952</v>
      </c>
      <c r="E121">
        <f t="shared" si="1"/>
        <v>86.768296556858999</v>
      </c>
    </row>
    <row r="122" spans="1:5" x14ac:dyDescent="0.2">
      <c r="A122">
        <v>121</v>
      </c>
      <c r="B122" s="1">
        <v>45717.452488425923</v>
      </c>
      <c r="C122" s="2">
        <v>0.49058105468749602</v>
      </c>
      <c r="D122" s="3">
        <v>2.8179272460937455</v>
      </c>
      <c r="E122">
        <f t="shared" si="1"/>
        <v>84.5361860067582</v>
      </c>
    </row>
    <row r="123" spans="1:5" x14ac:dyDescent="0.2">
      <c r="A123">
        <v>122</v>
      </c>
      <c r="B123" s="1">
        <v>45717.660821759258</v>
      </c>
      <c r="C123" s="2">
        <v>0.65145751953124886</v>
      </c>
      <c r="D123" s="3">
        <v>2.8179272460937455</v>
      </c>
      <c r="E123">
        <f t="shared" si="1"/>
        <v>85.533664090163114</v>
      </c>
    </row>
    <row r="124" spans="1:5" x14ac:dyDescent="0.2">
      <c r="A124">
        <v>123</v>
      </c>
      <c r="B124" s="1">
        <v>45717.869155092594</v>
      </c>
      <c r="C124" s="2">
        <v>2.2494970703125006</v>
      </c>
      <c r="D124" s="3">
        <v>3.4078076171875011</v>
      </c>
      <c r="E124">
        <f t="shared" si="1"/>
        <v>92.059920444967062</v>
      </c>
    </row>
    <row r="125" spans="1:5" x14ac:dyDescent="0.2">
      <c r="A125">
        <v>124</v>
      </c>
      <c r="B125" s="1">
        <v>45718.077488425923</v>
      </c>
      <c r="C125" s="2">
        <v>2.4747241210937503</v>
      </c>
      <c r="D125" s="3">
        <v>3.5686840820312469</v>
      </c>
      <c r="E125">
        <f t="shared" si="1"/>
        <v>92.496156978359451</v>
      </c>
    </row>
    <row r="126" spans="1:5" x14ac:dyDescent="0.2">
      <c r="A126">
        <v>125</v>
      </c>
      <c r="B126" s="1">
        <v>45718.285821759258</v>
      </c>
      <c r="C126" s="2">
        <v>2.7214013671874966</v>
      </c>
      <c r="D126" s="3">
        <v>3.740285644531248</v>
      </c>
      <c r="E126">
        <f t="shared" si="1"/>
        <v>93.004914991361233</v>
      </c>
    </row>
    <row r="127" spans="1:5" x14ac:dyDescent="0.2">
      <c r="A127">
        <v>126</v>
      </c>
      <c r="B127" s="1">
        <v>45718.494155092594</v>
      </c>
      <c r="C127" s="2">
        <v>2.6892260742187517</v>
      </c>
      <c r="D127" s="3">
        <v>3.8046362304687449</v>
      </c>
      <c r="E127">
        <f t="shared" si="1"/>
        <v>92.368967421353346</v>
      </c>
    </row>
    <row r="128" spans="1:5" x14ac:dyDescent="0.2">
      <c r="A128">
        <v>127</v>
      </c>
      <c r="B128" s="1">
        <v>45718.702488425923</v>
      </c>
      <c r="C128" s="2">
        <v>2.7964770507812489</v>
      </c>
      <c r="D128" s="3">
        <v>3.8904370117187455</v>
      </c>
      <c r="E128">
        <f t="shared" si="1"/>
        <v>92.516091102046261</v>
      </c>
    </row>
    <row r="129" spans="1:5" x14ac:dyDescent="0.2">
      <c r="A129">
        <v>128</v>
      </c>
      <c r="B129" s="1">
        <v>45718.910821759258</v>
      </c>
      <c r="C129" s="2">
        <v>2.8715527343750011</v>
      </c>
      <c r="D129" s="3">
        <v>3.9547875976562494</v>
      </c>
      <c r="E129">
        <f t="shared" si="1"/>
        <v>92.590960929294511</v>
      </c>
    </row>
    <row r="130" spans="1:5" x14ac:dyDescent="0.2">
      <c r="A130">
        <v>129</v>
      </c>
      <c r="B130" s="1">
        <v>45719.119155092594</v>
      </c>
      <c r="C130" s="2">
        <v>2.8393774414062491</v>
      </c>
      <c r="D130" s="3">
        <v>4.008413085937498</v>
      </c>
      <c r="E130">
        <f t="shared" si="1"/>
        <v>92.028644554624634</v>
      </c>
    </row>
    <row r="131" spans="1:5" x14ac:dyDescent="0.2">
      <c r="A131">
        <v>130</v>
      </c>
      <c r="B131" s="1">
        <v>45719.327488425923</v>
      </c>
      <c r="C131" s="2">
        <v>2.8393774414062491</v>
      </c>
      <c r="D131" s="3">
        <v>4.04058837890625</v>
      </c>
      <c r="E131">
        <f t="shared" ref="E131:E194" si="2">MAX(0, MIN(100,100*((EXP((17.625*C131)/(243.04+C131))-(0.00066*(1+0.00115*C131)*(D131-C131)))/(EXP((17.625*D131)/(243.04+D131))))))</f>
        <v>91.819488574949418</v>
      </c>
    </row>
    <row r="132" spans="1:5" x14ac:dyDescent="0.2">
      <c r="A132">
        <v>131</v>
      </c>
      <c r="B132" s="1">
        <v>45719.535821759258</v>
      </c>
      <c r="C132" s="2">
        <v>3.4828833007812463</v>
      </c>
      <c r="D132" s="3">
        <v>4.2336401367187477</v>
      </c>
      <c r="E132">
        <f t="shared" si="2"/>
        <v>94.824363469856621</v>
      </c>
    </row>
    <row r="133" spans="1:5" x14ac:dyDescent="0.2">
      <c r="A133">
        <v>132</v>
      </c>
      <c r="B133" s="1">
        <v>45719.744155092594</v>
      </c>
      <c r="C133" s="2">
        <v>4.3087158203125</v>
      </c>
      <c r="D133" s="3">
        <v>4.7698950195312477</v>
      </c>
      <c r="E133">
        <f t="shared" si="2"/>
        <v>96.806683026992275</v>
      </c>
    </row>
    <row r="134" spans="1:5" x14ac:dyDescent="0.2">
      <c r="A134">
        <v>133</v>
      </c>
      <c r="B134" s="1">
        <v>45719.952488425923</v>
      </c>
      <c r="C134" s="2">
        <v>4.1585644531249955</v>
      </c>
      <c r="D134" s="3">
        <v>4.5875683593749983</v>
      </c>
      <c r="E134">
        <f t="shared" si="2"/>
        <v>97.02200421247646</v>
      </c>
    </row>
    <row r="135" spans="1:5" x14ac:dyDescent="0.2">
      <c r="A135">
        <v>134</v>
      </c>
      <c r="B135" s="1">
        <v>45720.160821759258</v>
      </c>
      <c r="C135" s="2">
        <v>3.708110351562496</v>
      </c>
      <c r="D135" s="3">
        <v>4.4052416992187489</v>
      </c>
      <c r="E135">
        <f t="shared" si="2"/>
        <v>95.193018133178342</v>
      </c>
    </row>
    <row r="136" spans="1:5" x14ac:dyDescent="0.2">
      <c r="A136">
        <v>135</v>
      </c>
      <c r="B136" s="1">
        <v>45720.369155092594</v>
      </c>
      <c r="C136" s="2">
        <v>3.8904370117187455</v>
      </c>
      <c r="D136" s="3">
        <v>4.4910424804687494</v>
      </c>
      <c r="E136">
        <f t="shared" si="2"/>
        <v>95.849308586467799</v>
      </c>
    </row>
    <row r="137" spans="1:5" x14ac:dyDescent="0.2">
      <c r="A137">
        <v>136</v>
      </c>
      <c r="B137" s="1">
        <v>45720.577488425923</v>
      </c>
      <c r="C137" s="2">
        <v>3.708110351562496</v>
      </c>
      <c r="D137" s="3">
        <v>4.4374169921875009</v>
      </c>
      <c r="E137">
        <f t="shared" si="2"/>
        <v>94.977454792420033</v>
      </c>
    </row>
    <row r="138" spans="1:5" x14ac:dyDescent="0.2">
      <c r="A138">
        <v>137</v>
      </c>
      <c r="B138" s="1">
        <v>45720.785821759258</v>
      </c>
      <c r="C138" s="2">
        <v>3.3327319335937489</v>
      </c>
      <c r="D138" s="3">
        <v>4.2550903320312514</v>
      </c>
      <c r="E138">
        <f t="shared" si="2"/>
        <v>93.675841626190731</v>
      </c>
    </row>
    <row r="139" spans="1:5" x14ac:dyDescent="0.2">
      <c r="A139">
        <v>138</v>
      </c>
      <c r="B139" s="1">
        <v>45720.994155092594</v>
      </c>
      <c r="C139" s="2">
        <v>3.2576562499999966</v>
      </c>
      <c r="D139" s="3">
        <v>4.244365234374996</v>
      </c>
      <c r="E139">
        <f t="shared" si="2"/>
        <v>93.247343869806571</v>
      </c>
    </row>
    <row r="140" spans="1:5" x14ac:dyDescent="0.2">
      <c r="A140">
        <v>139</v>
      </c>
      <c r="B140" s="1">
        <v>45721.202488425923</v>
      </c>
      <c r="C140" s="2">
        <v>3.0109790039062503</v>
      </c>
      <c r="D140" s="3">
        <v>4.0834887695312503</v>
      </c>
      <c r="E140">
        <f t="shared" si="2"/>
        <v>92.669695515246602</v>
      </c>
    </row>
    <row r="141" spans="1:5" x14ac:dyDescent="0.2">
      <c r="A141">
        <v>140</v>
      </c>
      <c r="B141" s="1">
        <v>45721.410821759258</v>
      </c>
      <c r="C141" s="2">
        <v>2.0135449218749955</v>
      </c>
      <c r="D141" s="3">
        <v>3.6330346679687509</v>
      </c>
      <c r="E141">
        <f t="shared" si="2"/>
        <v>89.075089751334517</v>
      </c>
    </row>
    <row r="142" spans="1:5" x14ac:dyDescent="0.2">
      <c r="A142">
        <v>141</v>
      </c>
      <c r="B142" s="1">
        <v>45721.619155092594</v>
      </c>
      <c r="C142" s="2">
        <v>1.9062939453124983</v>
      </c>
      <c r="D142" s="3">
        <v>3.6437597656249991</v>
      </c>
      <c r="E142">
        <f t="shared" si="2"/>
        <v>88.322582629291873</v>
      </c>
    </row>
    <row r="143" spans="1:5" x14ac:dyDescent="0.2">
      <c r="A143">
        <v>142</v>
      </c>
      <c r="B143" s="1">
        <v>45721.827488425923</v>
      </c>
      <c r="C143" s="2">
        <v>1.7561425781250009</v>
      </c>
      <c r="D143" s="3">
        <v>3.6652099609374957</v>
      </c>
      <c r="E143">
        <f t="shared" si="2"/>
        <v>87.238757889133808</v>
      </c>
    </row>
    <row r="144" spans="1:5" x14ac:dyDescent="0.2">
      <c r="A144">
        <v>143</v>
      </c>
      <c r="B144" s="1">
        <v>45722.035821759258</v>
      </c>
      <c r="C144" s="2">
        <v>1.5309155273437511</v>
      </c>
      <c r="D144" s="3">
        <v>3.5579589843749986</v>
      </c>
      <c r="E144">
        <f t="shared" si="2"/>
        <v>86.487340037833022</v>
      </c>
    </row>
    <row r="145" spans="1:5" x14ac:dyDescent="0.2">
      <c r="A145">
        <v>144</v>
      </c>
      <c r="B145" s="1">
        <v>45722.244155092594</v>
      </c>
      <c r="C145" s="2">
        <v>1.2842382812499977</v>
      </c>
      <c r="D145" s="3">
        <v>3.3970825195312457</v>
      </c>
      <c r="E145">
        <f t="shared" si="2"/>
        <v>85.93417545964634</v>
      </c>
    </row>
    <row r="146" spans="1:5" x14ac:dyDescent="0.2">
      <c r="A146">
        <v>145</v>
      </c>
      <c r="B146" s="1">
        <v>45722.452488425923</v>
      </c>
      <c r="C146" s="2">
        <v>1.7025170898437452</v>
      </c>
      <c r="D146" s="3">
        <v>3.5472338867187503</v>
      </c>
      <c r="E146">
        <f t="shared" si="2"/>
        <v>87.632788001739314</v>
      </c>
    </row>
    <row r="147" spans="1:5" x14ac:dyDescent="0.2">
      <c r="A147">
        <v>146</v>
      </c>
      <c r="B147" s="1">
        <v>45722.660821759258</v>
      </c>
      <c r="C147" s="2">
        <v>2.4210986328125017</v>
      </c>
      <c r="D147" s="3">
        <v>3.8582617187500006</v>
      </c>
      <c r="E147">
        <f t="shared" si="2"/>
        <v>90.268587958647146</v>
      </c>
    </row>
    <row r="148" spans="1:5" x14ac:dyDescent="0.2">
      <c r="A148">
        <v>147</v>
      </c>
      <c r="B148" s="1">
        <v>45722.869155092594</v>
      </c>
      <c r="C148" s="2">
        <v>1.7454174804687455</v>
      </c>
      <c r="D148" s="3">
        <v>3.6652099609374957</v>
      </c>
      <c r="E148">
        <f t="shared" si="2"/>
        <v>87.171279560114016</v>
      </c>
    </row>
    <row r="149" spans="1:5" x14ac:dyDescent="0.2">
      <c r="A149">
        <v>148</v>
      </c>
      <c r="B149" s="1">
        <v>45723.077488425923</v>
      </c>
      <c r="C149" s="2">
        <v>2.6248754882812477</v>
      </c>
      <c r="D149" s="3">
        <v>3.8046362304687449</v>
      </c>
      <c r="E149">
        <f t="shared" si="2"/>
        <v>91.944650477678039</v>
      </c>
    </row>
    <row r="150" spans="1:5" x14ac:dyDescent="0.2">
      <c r="A150">
        <v>149</v>
      </c>
      <c r="B150" s="1">
        <v>45723.285821759258</v>
      </c>
      <c r="C150" s="2">
        <v>2.7428515624999998</v>
      </c>
      <c r="D150" s="3">
        <v>3.8904370117187455</v>
      </c>
      <c r="E150">
        <f t="shared" si="2"/>
        <v>92.162144039452514</v>
      </c>
    </row>
    <row r="151" spans="1:5" x14ac:dyDescent="0.2">
      <c r="A151">
        <v>150</v>
      </c>
      <c r="B151" s="1">
        <v>45723.494155092594</v>
      </c>
      <c r="C151" s="2">
        <v>2.3889233398437497</v>
      </c>
      <c r="D151" s="3">
        <v>3.8260864257812486</v>
      </c>
      <c r="E151">
        <f t="shared" si="2"/>
        <v>90.266027869964446</v>
      </c>
    </row>
    <row r="152" spans="1:5" x14ac:dyDescent="0.2">
      <c r="A152">
        <v>151</v>
      </c>
      <c r="B152" s="1">
        <v>45723.702488425923</v>
      </c>
      <c r="C152" s="2">
        <v>1.7025170898437452</v>
      </c>
      <c r="D152" s="3">
        <v>3.6544848632812474</v>
      </c>
      <c r="E152">
        <f t="shared" si="2"/>
        <v>86.967990836322258</v>
      </c>
    </row>
    <row r="153" spans="1:5" x14ac:dyDescent="0.2">
      <c r="A153">
        <v>152</v>
      </c>
      <c r="B153" s="1">
        <v>45723.910821759258</v>
      </c>
      <c r="C153" s="2">
        <v>2.3352978515625011</v>
      </c>
      <c r="D153" s="3">
        <v>3.6330346679687509</v>
      </c>
      <c r="E153">
        <f t="shared" si="2"/>
        <v>91.158687935509505</v>
      </c>
    </row>
    <row r="154" spans="1:5" x14ac:dyDescent="0.2">
      <c r="A154">
        <v>153</v>
      </c>
      <c r="B154" s="1">
        <v>45724.119155092594</v>
      </c>
      <c r="C154" s="2">
        <v>2.8822778320312494</v>
      </c>
      <c r="D154" s="3">
        <v>3.9118872070312491</v>
      </c>
      <c r="E154">
        <f t="shared" si="2"/>
        <v>92.943643312845509</v>
      </c>
    </row>
    <row r="155" spans="1:5" x14ac:dyDescent="0.2">
      <c r="A155">
        <v>154</v>
      </c>
      <c r="B155" s="1">
        <v>45724.327488425923</v>
      </c>
      <c r="C155" s="2">
        <v>2.5712499999999991</v>
      </c>
      <c r="D155" s="3">
        <v>3.8904370117187455</v>
      </c>
      <c r="E155">
        <f t="shared" si="2"/>
        <v>91.037431245831513</v>
      </c>
    </row>
    <row r="156" spans="1:5" x14ac:dyDescent="0.2">
      <c r="A156">
        <v>155</v>
      </c>
      <c r="B156" s="1">
        <v>45724.535821759258</v>
      </c>
      <c r="C156" s="2">
        <v>2.7750268554687452</v>
      </c>
      <c r="D156" s="3">
        <v>3.9547875976562494</v>
      </c>
      <c r="E156">
        <f t="shared" si="2"/>
        <v>91.954607024487373</v>
      </c>
    </row>
    <row r="157" spans="1:5" x14ac:dyDescent="0.2">
      <c r="A157">
        <v>156</v>
      </c>
      <c r="B157" s="1">
        <v>45724.744155092594</v>
      </c>
      <c r="C157" s="2">
        <v>3.2576562499999966</v>
      </c>
      <c r="D157" s="3">
        <v>4.2014648437499957</v>
      </c>
      <c r="E157">
        <f t="shared" si="2"/>
        <v>93.530148441429859</v>
      </c>
    </row>
    <row r="158" spans="1:5" x14ac:dyDescent="0.2">
      <c r="A158">
        <v>157</v>
      </c>
      <c r="B158" s="1">
        <v>45724.952488425923</v>
      </c>
      <c r="C158" s="2">
        <v>3.3434570312499972</v>
      </c>
      <c r="D158" s="3">
        <v>4.2658154296874997</v>
      </c>
      <c r="E158">
        <f t="shared" si="2"/>
        <v>93.676403080320014</v>
      </c>
    </row>
    <row r="159" spans="1:5" x14ac:dyDescent="0.2">
      <c r="A159">
        <v>158</v>
      </c>
      <c r="B159" s="1">
        <v>45725.202488425923</v>
      </c>
      <c r="C159" s="2">
        <v>3.6330346679687509</v>
      </c>
      <c r="D159" s="3">
        <v>4.3194409179687483</v>
      </c>
      <c r="E159">
        <f t="shared" si="2"/>
        <v>95.262031124376691</v>
      </c>
    </row>
    <row r="160" spans="1:5" x14ac:dyDescent="0.2">
      <c r="A160">
        <v>159</v>
      </c>
      <c r="B160" s="1">
        <v>45725.410821759258</v>
      </c>
      <c r="C160" s="2">
        <v>3.439982910156246</v>
      </c>
      <c r="D160" s="3">
        <v>4.3194409179687483</v>
      </c>
      <c r="E160">
        <f t="shared" si="2"/>
        <v>93.965277100827947</v>
      </c>
    </row>
    <row r="161" spans="1:5" x14ac:dyDescent="0.2">
      <c r="A161">
        <v>160</v>
      </c>
      <c r="B161" s="1">
        <v>45725.619155092594</v>
      </c>
      <c r="C161" s="2">
        <v>4.2014648437499957</v>
      </c>
      <c r="D161" s="3">
        <v>4.8771459960937449</v>
      </c>
      <c r="E161">
        <f t="shared" si="2"/>
        <v>95.356124860584856</v>
      </c>
    </row>
    <row r="162" spans="1:5" x14ac:dyDescent="0.2">
      <c r="A162">
        <v>161</v>
      </c>
      <c r="B162" s="1">
        <v>45725.827488425923</v>
      </c>
      <c r="C162" s="2">
        <v>4.4588671874999974</v>
      </c>
      <c r="D162" s="3">
        <v>4.9093212890624969</v>
      </c>
      <c r="E162">
        <f t="shared" si="2"/>
        <v>96.883558412580271</v>
      </c>
    </row>
    <row r="163" spans="1:5" x14ac:dyDescent="0.2">
      <c r="A163">
        <v>162</v>
      </c>
      <c r="B163" s="1">
        <v>45726.035821759258</v>
      </c>
      <c r="C163" s="2">
        <v>4.57684326171875</v>
      </c>
      <c r="D163" s="3">
        <v>4.8771459960937449</v>
      </c>
      <c r="E163">
        <f t="shared" si="2"/>
        <v>97.912255548771228</v>
      </c>
    </row>
    <row r="164" spans="1:5" x14ac:dyDescent="0.2">
      <c r="A164">
        <v>163</v>
      </c>
      <c r="B164" s="1">
        <v>45726.244155092594</v>
      </c>
      <c r="C164" s="2">
        <v>4.4588671874999974</v>
      </c>
      <c r="D164" s="3">
        <v>4.8020703124999997</v>
      </c>
      <c r="E164">
        <f t="shared" si="2"/>
        <v>97.61563218246387</v>
      </c>
    </row>
    <row r="165" spans="1:5" x14ac:dyDescent="0.2">
      <c r="A165">
        <v>164</v>
      </c>
      <c r="B165" s="1">
        <v>45726.452488425923</v>
      </c>
      <c r="C165" s="2">
        <v>4.1156640624999952</v>
      </c>
      <c r="D165" s="3">
        <v>4.6090185546874949</v>
      </c>
      <c r="E165">
        <f t="shared" si="2"/>
        <v>96.582659422750709</v>
      </c>
    </row>
    <row r="166" spans="1:5" x14ac:dyDescent="0.2">
      <c r="A166">
        <v>165</v>
      </c>
      <c r="B166" s="1">
        <v>45726.660821759258</v>
      </c>
      <c r="C166" s="2">
        <v>4.4588671874999974</v>
      </c>
      <c r="D166" s="3">
        <v>5.0380224609374977</v>
      </c>
      <c r="E166">
        <f t="shared" si="2"/>
        <v>96.013132268690413</v>
      </c>
    </row>
    <row r="167" spans="1:5" x14ac:dyDescent="0.2">
      <c r="A167">
        <v>166</v>
      </c>
      <c r="B167" s="1">
        <v>45726.869155092594</v>
      </c>
      <c r="C167" s="2">
        <v>4.244365234374996</v>
      </c>
      <c r="D167" s="3">
        <v>5.1023730468750017</v>
      </c>
      <c r="E167">
        <f t="shared" si="2"/>
        <v>94.146607313407131</v>
      </c>
    </row>
    <row r="168" spans="1:5" x14ac:dyDescent="0.2">
      <c r="A168">
        <v>167</v>
      </c>
      <c r="B168" s="1">
        <v>45727.077488425923</v>
      </c>
      <c r="C168" s="2">
        <v>4.0620385742187466</v>
      </c>
      <c r="D168" s="3">
        <v>4.7698950195312477</v>
      </c>
      <c r="E168">
        <f t="shared" si="2"/>
        <v>95.135434530755177</v>
      </c>
    </row>
    <row r="169" spans="1:5" x14ac:dyDescent="0.2">
      <c r="A169">
        <v>168</v>
      </c>
      <c r="B169" s="1">
        <v>45727.285821759258</v>
      </c>
      <c r="C169" s="2">
        <v>2.8608276367187457</v>
      </c>
      <c r="D169" s="3">
        <v>4.3301660156249966</v>
      </c>
      <c r="E169">
        <f t="shared" si="2"/>
        <v>90.098691612950944</v>
      </c>
    </row>
    <row r="170" spans="1:5" x14ac:dyDescent="0.2">
      <c r="A170">
        <v>169</v>
      </c>
      <c r="B170" s="1">
        <v>45727.494155092594</v>
      </c>
      <c r="C170" s="2">
        <v>2.7106762695312483</v>
      </c>
      <c r="D170" s="3">
        <v>4.0298632812500017</v>
      </c>
      <c r="E170">
        <f t="shared" si="2"/>
        <v>91.047669028724258</v>
      </c>
    </row>
    <row r="171" spans="1:5" x14ac:dyDescent="0.2">
      <c r="A171">
        <v>170</v>
      </c>
      <c r="B171" s="1">
        <v>45727.702488425923</v>
      </c>
      <c r="C171" s="2">
        <v>2.8822778320312494</v>
      </c>
      <c r="D171" s="3">
        <v>4.1371142578124989</v>
      </c>
      <c r="E171">
        <f t="shared" si="2"/>
        <v>91.475071484227684</v>
      </c>
    </row>
    <row r="172" spans="1:5" x14ac:dyDescent="0.2">
      <c r="A172">
        <v>171</v>
      </c>
      <c r="B172" s="1">
        <v>45727.910821759258</v>
      </c>
      <c r="C172" s="2">
        <v>3.171855468749996</v>
      </c>
      <c r="D172" s="3">
        <v>4.1692895507812509</v>
      </c>
      <c r="E172">
        <f t="shared" si="2"/>
        <v>93.171952858174862</v>
      </c>
    </row>
    <row r="173" spans="1:5" x14ac:dyDescent="0.2">
      <c r="A173">
        <v>172</v>
      </c>
      <c r="B173" s="1">
        <v>45728.119155092594</v>
      </c>
      <c r="C173" s="2">
        <v>3.0967797851562509</v>
      </c>
      <c r="D173" s="3">
        <v>4.2014648437499957</v>
      </c>
      <c r="E173">
        <f t="shared" si="2"/>
        <v>92.464557284281796</v>
      </c>
    </row>
    <row r="174" spans="1:5" x14ac:dyDescent="0.2">
      <c r="A174">
        <v>173</v>
      </c>
      <c r="B174" s="1">
        <v>45728.327488425923</v>
      </c>
      <c r="C174" s="2">
        <v>3.2254809570312517</v>
      </c>
      <c r="D174" s="3">
        <v>4.2550903320312514</v>
      </c>
      <c r="E174">
        <f t="shared" si="2"/>
        <v>92.963623595667372</v>
      </c>
    </row>
    <row r="175" spans="1:5" x14ac:dyDescent="0.2">
      <c r="A175">
        <v>174</v>
      </c>
      <c r="B175" s="1">
        <v>45728.535821759258</v>
      </c>
      <c r="C175" s="2">
        <v>3.1396801757812511</v>
      </c>
      <c r="D175" s="3">
        <v>4.2872656249999963</v>
      </c>
      <c r="E175">
        <f t="shared" si="2"/>
        <v>92.187707186095309</v>
      </c>
    </row>
    <row r="176" spans="1:5" x14ac:dyDescent="0.2">
      <c r="A176">
        <v>175</v>
      </c>
      <c r="B176" s="1">
        <v>45728.744155092594</v>
      </c>
      <c r="C176" s="2">
        <v>4.3301660156249966</v>
      </c>
      <c r="D176" s="3">
        <v>4.7591699218749994</v>
      </c>
      <c r="E176">
        <f t="shared" si="2"/>
        <v>97.026281748883548</v>
      </c>
    </row>
    <row r="177" spans="1:5" x14ac:dyDescent="0.2">
      <c r="A177">
        <v>176</v>
      </c>
      <c r="B177" s="1">
        <v>45728.952488425923</v>
      </c>
      <c r="C177" s="2">
        <v>4.0298632812500017</v>
      </c>
      <c r="D177" s="3">
        <v>4.6304687499999986</v>
      </c>
      <c r="E177">
        <f t="shared" si="2"/>
        <v>95.854132458656309</v>
      </c>
    </row>
    <row r="178" spans="1:5" x14ac:dyDescent="0.2">
      <c r="A178">
        <v>177</v>
      </c>
      <c r="B178" s="1">
        <v>45729.160821759258</v>
      </c>
      <c r="C178" s="2">
        <v>3.7939111328124966</v>
      </c>
      <c r="D178" s="3">
        <v>4.544667968749998</v>
      </c>
      <c r="E178">
        <f t="shared" si="2"/>
        <v>94.837728413731483</v>
      </c>
    </row>
    <row r="179" spans="1:5" x14ac:dyDescent="0.2">
      <c r="A179">
        <v>178</v>
      </c>
      <c r="B179" s="1">
        <v>45729.369155092594</v>
      </c>
      <c r="C179" s="2">
        <v>4.0298632812500017</v>
      </c>
      <c r="D179" s="3">
        <v>4.6197436523437503</v>
      </c>
      <c r="E179">
        <f t="shared" si="2"/>
        <v>95.926465430223544</v>
      </c>
    </row>
    <row r="180" spans="1:5" x14ac:dyDescent="0.2">
      <c r="A180">
        <v>179</v>
      </c>
      <c r="B180" s="1">
        <v>45729.577488425923</v>
      </c>
      <c r="C180" s="2">
        <v>4.4910424804687494</v>
      </c>
      <c r="D180" s="3">
        <v>4.8342456054687517</v>
      </c>
      <c r="E180">
        <f t="shared" si="2"/>
        <v>97.616275699469497</v>
      </c>
    </row>
    <row r="181" spans="1:5" x14ac:dyDescent="0.2">
      <c r="A181">
        <v>180</v>
      </c>
      <c r="B181" s="1">
        <v>45729.785821759258</v>
      </c>
      <c r="C181" s="2">
        <v>4.3730664062499969</v>
      </c>
      <c r="D181" s="3">
        <v>5.0701977539062497</v>
      </c>
      <c r="E181">
        <f t="shared" si="2"/>
        <v>95.21949381472291</v>
      </c>
    </row>
    <row r="182" spans="1:5" x14ac:dyDescent="0.2">
      <c r="A182">
        <v>181</v>
      </c>
      <c r="B182" s="1">
        <v>45729.994155092594</v>
      </c>
      <c r="C182" s="2">
        <v>3.3649072265625009</v>
      </c>
      <c r="D182" s="3">
        <v>4.544667968749998</v>
      </c>
      <c r="E182">
        <f t="shared" si="2"/>
        <v>91.993498559060001</v>
      </c>
    </row>
    <row r="183" spans="1:5" x14ac:dyDescent="0.2">
      <c r="A183">
        <v>182</v>
      </c>
      <c r="B183" s="1">
        <v>45730.202488425923</v>
      </c>
      <c r="C183" s="2">
        <v>3.7510107421874963</v>
      </c>
      <c r="D183" s="3">
        <v>4.6197436523437503</v>
      </c>
      <c r="E183">
        <f t="shared" si="2"/>
        <v>94.051719998691226</v>
      </c>
    </row>
    <row r="184" spans="1:5" x14ac:dyDescent="0.2">
      <c r="A184">
        <v>183</v>
      </c>
      <c r="B184" s="1">
        <v>45730.410821759258</v>
      </c>
      <c r="C184" s="2">
        <v>3.5901342773437506</v>
      </c>
      <c r="D184" s="3">
        <v>4.5553930664062463</v>
      </c>
      <c r="E184">
        <f t="shared" si="2"/>
        <v>93.406758045972666</v>
      </c>
    </row>
    <row r="185" spans="1:5" x14ac:dyDescent="0.2">
      <c r="A185">
        <v>184</v>
      </c>
      <c r="B185" s="1">
        <v>45730.619155092594</v>
      </c>
      <c r="C185" s="2">
        <v>4.3194409179687483</v>
      </c>
      <c r="D185" s="3">
        <v>4.8020703124999997</v>
      </c>
      <c r="E185">
        <f t="shared" si="2"/>
        <v>96.661245277407687</v>
      </c>
    </row>
    <row r="186" spans="1:5" x14ac:dyDescent="0.2">
      <c r="A186">
        <v>185</v>
      </c>
      <c r="B186" s="1">
        <v>45730.827488425923</v>
      </c>
      <c r="C186" s="2">
        <v>4.5875683593749983</v>
      </c>
      <c r="D186" s="3">
        <v>4.9200463867187452</v>
      </c>
      <c r="E186">
        <f t="shared" si="2"/>
        <v>97.691671660268156</v>
      </c>
    </row>
    <row r="187" spans="1:5" x14ac:dyDescent="0.2">
      <c r="A187">
        <v>186</v>
      </c>
      <c r="B187" s="1">
        <v>45731.035821759258</v>
      </c>
      <c r="C187" s="2">
        <v>4.6519189453124952</v>
      </c>
      <c r="D187" s="3">
        <v>4.9522216796874972</v>
      </c>
      <c r="E187">
        <f t="shared" si="2"/>
        <v>97.913570832904469</v>
      </c>
    </row>
    <row r="188" spans="1:5" x14ac:dyDescent="0.2">
      <c r="A188">
        <v>187</v>
      </c>
      <c r="B188" s="1">
        <v>45731.244155092594</v>
      </c>
      <c r="C188" s="2">
        <v>4.5339428710937497</v>
      </c>
      <c r="D188" s="3">
        <v>4.8020703124999997</v>
      </c>
      <c r="E188">
        <f t="shared" si="2"/>
        <v>98.13292984834537</v>
      </c>
    </row>
    <row r="189" spans="1:5" x14ac:dyDescent="0.2">
      <c r="A189">
        <v>188</v>
      </c>
      <c r="B189" s="1">
        <v>45731.452488425923</v>
      </c>
      <c r="C189" s="2">
        <v>4.9093212890624969</v>
      </c>
      <c r="D189" s="3">
        <v>5.1023730468750017</v>
      </c>
      <c r="E189">
        <f t="shared" si="2"/>
        <v>98.656019810080892</v>
      </c>
    </row>
    <row r="190" spans="1:5" x14ac:dyDescent="0.2">
      <c r="A190">
        <v>189</v>
      </c>
      <c r="B190" s="1">
        <v>45731.660821759258</v>
      </c>
      <c r="C190" s="2">
        <v>5.0058471679687457</v>
      </c>
      <c r="D190" s="3">
        <v>5.1667236328124986</v>
      </c>
      <c r="E190">
        <f t="shared" si="2"/>
        <v>98.879522681079052</v>
      </c>
    </row>
    <row r="191" spans="1:5" x14ac:dyDescent="0.2">
      <c r="A191">
        <v>190</v>
      </c>
      <c r="B191" s="1">
        <v>45731.869155092594</v>
      </c>
      <c r="C191" s="2">
        <v>4.5982934570312466</v>
      </c>
      <c r="D191" s="3">
        <v>4.9307714843750006</v>
      </c>
      <c r="E191">
        <f t="shared" si="2"/>
        <v>97.69187925185922</v>
      </c>
    </row>
    <row r="192" spans="1:5" x14ac:dyDescent="0.2">
      <c r="A192">
        <v>191</v>
      </c>
      <c r="B192" s="1">
        <v>45732.077488425923</v>
      </c>
      <c r="C192" s="2">
        <v>3.171855468749996</v>
      </c>
      <c r="D192" s="3">
        <v>4.3623413085937486</v>
      </c>
      <c r="E192">
        <f t="shared" si="2"/>
        <v>91.91127210870269</v>
      </c>
    </row>
    <row r="193" spans="1:5" x14ac:dyDescent="0.2">
      <c r="A193">
        <v>192</v>
      </c>
      <c r="B193" s="1">
        <v>45732.285821759258</v>
      </c>
      <c r="C193" s="2">
        <v>2.5283496093749989</v>
      </c>
      <c r="D193" s="3">
        <v>4.1478393554687472</v>
      </c>
      <c r="E193">
        <f t="shared" si="2"/>
        <v>89.120703480325076</v>
      </c>
    </row>
    <row r="194" spans="1:5" x14ac:dyDescent="0.2">
      <c r="A194">
        <v>193</v>
      </c>
      <c r="B194" s="1">
        <v>45732.494155092594</v>
      </c>
      <c r="C194" s="2">
        <v>1.9062939453124983</v>
      </c>
      <c r="D194" s="3">
        <v>3.9118872070312491</v>
      </c>
      <c r="E194">
        <f t="shared" si="2"/>
        <v>86.659564907260886</v>
      </c>
    </row>
    <row r="195" spans="1:5" x14ac:dyDescent="0.2">
      <c r="A195">
        <v>194</v>
      </c>
      <c r="B195" s="1">
        <v>45732.702488425923</v>
      </c>
      <c r="C195" s="2">
        <v>1.863393554687498</v>
      </c>
      <c r="D195" s="3">
        <v>3.8797119140624972</v>
      </c>
      <c r="E195">
        <f t="shared" ref="E195:E258" si="3">MAX(0, MIN(100,100*((EXP((17.625*C195)/(243.04+C195))-(0.00066*(1+0.00115*C195)*(D195-C195)))/(EXP((17.625*D195)/(243.04+D195))))))</f>
        <v>86.589154708453265</v>
      </c>
    </row>
    <row r="196" spans="1:5" x14ac:dyDescent="0.2">
      <c r="A196">
        <v>195</v>
      </c>
      <c r="B196" s="1">
        <v>45732.910821759258</v>
      </c>
      <c r="C196" s="2">
        <v>3.2362060546875</v>
      </c>
      <c r="D196" s="3">
        <v>4.1478393554687472</v>
      </c>
      <c r="E196">
        <f t="shared" si="3"/>
        <v>93.741766408115922</v>
      </c>
    </row>
    <row r="197" spans="1:5" x14ac:dyDescent="0.2">
      <c r="A197">
        <v>196</v>
      </c>
      <c r="B197" s="1">
        <v>45733.119155092594</v>
      </c>
      <c r="C197" s="2">
        <v>3.439982910156246</v>
      </c>
      <c r="D197" s="3">
        <v>4.2872656249999963</v>
      </c>
      <c r="E197">
        <f t="shared" si="3"/>
        <v>94.178774470655441</v>
      </c>
    </row>
    <row r="198" spans="1:5" x14ac:dyDescent="0.2">
      <c r="A198">
        <v>197</v>
      </c>
      <c r="B198" s="1">
        <v>45733.327488425923</v>
      </c>
      <c r="C198" s="2">
        <v>3.3970825195312457</v>
      </c>
      <c r="D198" s="3">
        <v>4.2872656249999963</v>
      </c>
      <c r="E198">
        <f t="shared" si="3"/>
        <v>93.892061053106573</v>
      </c>
    </row>
    <row r="199" spans="1:5" x14ac:dyDescent="0.2">
      <c r="A199">
        <v>198</v>
      </c>
      <c r="B199" s="1">
        <v>45733.535821759258</v>
      </c>
      <c r="C199" s="2">
        <v>2.6034252929687511</v>
      </c>
      <c r="D199" s="3">
        <v>4.2658154296874997</v>
      </c>
      <c r="E199">
        <f t="shared" si="3"/>
        <v>88.857785632854203</v>
      </c>
    </row>
    <row r="200" spans="1:5" x14ac:dyDescent="0.2">
      <c r="A200">
        <v>199</v>
      </c>
      <c r="B200" s="1">
        <v>45733.744155092594</v>
      </c>
      <c r="C200" s="2">
        <v>3.8153613281249998</v>
      </c>
      <c r="D200" s="3">
        <v>4.57684326171875</v>
      </c>
      <c r="E200">
        <f t="shared" si="3"/>
        <v>94.767096711552895</v>
      </c>
    </row>
    <row r="201" spans="1:5" x14ac:dyDescent="0.2">
      <c r="A201">
        <v>200</v>
      </c>
      <c r="B201" s="1">
        <v>45733.952488425923</v>
      </c>
      <c r="C201" s="2">
        <v>3.4185327148437494</v>
      </c>
      <c r="D201" s="3">
        <v>4.5661181640625017</v>
      </c>
      <c r="E201">
        <f t="shared" si="3"/>
        <v>92.205576913845846</v>
      </c>
    </row>
    <row r="202" spans="1:5" x14ac:dyDescent="0.2">
      <c r="A202">
        <v>201</v>
      </c>
      <c r="B202" s="1">
        <v>45734.160821759258</v>
      </c>
      <c r="C202" s="2">
        <v>3.7295605468750002</v>
      </c>
      <c r="D202" s="3">
        <v>4.5553930664062463</v>
      </c>
      <c r="E202">
        <f t="shared" si="3"/>
        <v>94.335027016438616</v>
      </c>
    </row>
    <row r="203" spans="1:5" x14ac:dyDescent="0.2">
      <c r="A203">
        <v>202</v>
      </c>
      <c r="B203" s="1">
        <v>45734.369155092594</v>
      </c>
      <c r="C203" s="2">
        <v>3.5579589843749986</v>
      </c>
      <c r="D203" s="3">
        <v>4.4695922851562457</v>
      </c>
      <c r="E203">
        <f t="shared" si="3"/>
        <v>93.758412594303024</v>
      </c>
    </row>
    <row r="204" spans="1:5" x14ac:dyDescent="0.2">
      <c r="A204">
        <v>203</v>
      </c>
      <c r="B204" s="1">
        <v>45734.577488425923</v>
      </c>
      <c r="C204" s="2">
        <v>3.6544848632812474</v>
      </c>
      <c r="D204" s="3">
        <v>4.4803173828125011</v>
      </c>
      <c r="E204">
        <f t="shared" si="3"/>
        <v>94.331501551582676</v>
      </c>
    </row>
    <row r="205" spans="1:5" x14ac:dyDescent="0.2">
      <c r="A205">
        <v>204</v>
      </c>
      <c r="B205" s="1">
        <v>45734.785821759258</v>
      </c>
      <c r="C205" s="2">
        <v>3.5901342773437506</v>
      </c>
      <c r="D205" s="3">
        <v>4.4803173828125011</v>
      </c>
      <c r="E205">
        <f t="shared" si="3"/>
        <v>93.901815095766779</v>
      </c>
    </row>
    <row r="206" spans="1:5" x14ac:dyDescent="0.2">
      <c r="A206">
        <v>205</v>
      </c>
      <c r="B206" s="1">
        <v>45734.994155092594</v>
      </c>
      <c r="C206" s="2">
        <v>3.50433349609375</v>
      </c>
      <c r="D206" s="3">
        <v>4.4588671874999974</v>
      </c>
      <c r="E206">
        <f t="shared" si="3"/>
        <v>93.472680198812341</v>
      </c>
    </row>
    <row r="207" spans="1:5" x14ac:dyDescent="0.2">
      <c r="A207">
        <v>206</v>
      </c>
      <c r="B207" s="1">
        <v>45735.202488425923</v>
      </c>
      <c r="C207" s="2">
        <v>3.3649072265625009</v>
      </c>
      <c r="D207" s="3">
        <v>4.3730664062499969</v>
      </c>
      <c r="E207">
        <f t="shared" si="3"/>
        <v>93.112398163326134</v>
      </c>
    </row>
    <row r="208" spans="1:5" x14ac:dyDescent="0.2">
      <c r="A208">
        <v>207</v>
      </c>
      <c r="B208" s="1">
        <v>45735.410821759258</v>
      </c>
      <c r="C208" s="2">
        <v>3.4507080078125014</v>
      </c>
      <c r="D208" s="3">
        <v>4.3730664062499969</v>
      </c>
      <c r="E208">
        <f t="shared" si="3"/>
        <v>93.682012490126027</v>
      </c>
    </row>
    <row r="209" spans="1:5" x14ac:dyDescent="0.2">
      <c r="A209">
        <v>208</v>
      </c>
      <c r="B209" s="1">
        <v>45735.619155092594</v>
      </c>
      <c r="C209" s="2">
        <v>3.171855468749996</v>
      </c>
      <c r="D209" s="3">
        <v>4.3623413085937486</v>
      </c>
      <c r="E209">
        <f t="shared" si="3"/>
        <v>91.91127210870269</v>
      </c>
    </row>
    <row r="210" spans="1:5" x14ac:dyDescent="0.2">
      <c r="A210">
        <v>209</v>
      </c>
      <c r="B210" s="1">
        <v>45735.827488425923</v>
      </c>
      <c r="C210" s="2">
        <v>3.0538793945312506</v>
      </c>
      <c r="D210" s="3">
        <v>4.3408911132812449</v>
      </c>
      <c r="E210">
        <f t="shared" si="3"/>
        <v>91.279653923405903</v>
      </c>
    </row>
    <row r="211" spans="1:5" x14ac:dyDescent="0.2">
      <c r="A211">
        <v>210</v>
      </c>
      <c r="B211" s="1">
        <v>45736.035821759258</v>
      </c>
      <c r="C211" s="2">
        <v>2.8179272460937455</v>
      </c>
      <c r="D211" s="3">
        <v>4.3194409179687483</v>
      </c>
      <c r="E211">
        <f t="shared" si="3"/>
        <v>89.890926477303282</v>
      </c>
    </row>
    <row r="212" spans="1:5" x14ac:dyDescent="0.2">
      <c r="A212">
        <v>211</v>
      </c>
      <c r="B212" s="1">
        <v>45736.244155092594</v>
      </c>
      <c r="C212" s="2">
        <v>2.1851464843749966</v>
      </c>
      <c r="D212" s="3">
        <v>4.0620385742187466</v>
      </c>
      <c r="E212">
        <f t="shared" si="3"/>
        <v>87.481595966721443</v>
      </c>
    </row>
    <row r="213" spans="1:5" x14ac:dyDescent="0.2">
      <c r="A213">
        <v>212</v>
      </c>
      <c r="B213" s="1">
        <v>45736.452488425923</v>
      </c>
      <c r="C213" s="2">
        <v>1.9277441406249949</v>
      </c>
      <c r="D213" s="3">
        <v>3.976237792968746</v>
      </c>
      <c r="E213">
        <f t="shared" si="3"/>
        <v>86.399070509559976</v>
      </c>
    </row>
    <row r="214" spans="1:5" x14ac:dyDescent="0.2">
      <c r="A214">
        <v>213</v>
      </c>
      <c r="B214" s="1">
        <v>45736.660821759258</v>
      </c>
      <c r="C214" s="2">
        <v>2.2173217773437486</v>
      </c>
      <c r="D214" s="3">
        <v>4.0942138671874986</v>
      </c>
      <c r="E214">
        <f t="shared" si="3"/>
        <v>87.48483905474906</v>
      </c>
    </row>
    <row r="215" spans="1:5" x14ac:dyDescent="0.2">
      <c r="A215">
        <v>214</v>
      </c>
      <c r="B215" s="1">
        <v>45736.869155092594</v>
      </c>
      <c r="C215" s="2">
        <v>3.2576562499999966</v>
      </c>
      <c r="D215" s="3">
        <v>4.3194409179687483</v>
      </c>
      <c r="E215">
        <f t="shared" si="3"/>
        <v>92.754724501551166</v>
      </c>
    </row>
    <row r="216" spans="1:5" x14ac:dyDescent="0.2">
      <c r="A216">
        <v>215</v>
      </c>
      <c r="B216" s="1">
        <v>45737.077488425923</v>
      </c>
      <c r="C216" s="2">
        <v>3.3220068359375006</v>
      </c>
      <c r="D216" s="3">
        <v>4.276540527343748</v>
      </c>
      <c r="E216">
        <f t="shared" si="3"/>
        <v>93.462838158354131</v>
      </c>
    </row>
    <row r="217" spans="1:5" x14ac:dyDescent="0.2">
      <c r="A217">
        <v>216</v>
      </c>
      <c r="B217" s="1">
        <v>45737.285821759258</v>
      </c>
      <c r="C217" s="2">
        <v>3.2147558593749963</v>
      </c>
      <c r="D217" s="3">
        <v>4.2014648437499957</v>
      </c>
      <c r="E217">
        <f t="shared" si="3"/>
        <v>93.244949345352367</v>
      </c>
    </row>
    <row r="218" spans="1:5" x14ac:dyDescent="0.2">
      <c r="A218">
        <v>217</v>
      </c>
      <c r="B218" s="1">
        <v>45737.494155092594</v>
      </c>
      <c r="C218" s="2">
        <v>3.976237792968746</v>
      </c>
      <c r="D218" s="3">
        <v>4.5982934570312466</v>
      </c>
      <c r="E218">
        <f t="shared" si="3"/>
        <v>95.707731527524032</v>
      </c>
    </row>
    <row r="219" spans="1:5" x14ac:dyDescent="0.2">
      <c r="A219">
        <v>218</v>
      </c>
      <c r="B219" s="1">
        <v>45737.702488425923</v>
      </c>
      <c r="C219" s="2">
        <v>4.04058837890625</v>
      </c>
      <c r="D219" s="3">
        <v>4.6733691406249989</v>
      </c>
      <c r="E219">
        <f t="shared" si="3"/>
        <v>95.637887373037913</v>
      </c>
    </row>
    <row r="220" spans="1:5" x14ac:dyDescent="0.2">
      <c r="A220">
        <v>219</v>
      </c>
      <c r="B220" s="1">
        <v>45737.910821759258</v>
      </c>
      <c r="C220" s="2">
        <v>2.6785009765624963</v>
      </c>
      <c r="D220" s="3">
        <v>4.1692895507812509</v>
      </c>
      <c r="E220">
        <f t="shared" si="3"/>
        <v>89.947571359873407</v>
      </c>
    </row>
    <row r="221" spans="1:5" x14ac:dyDescent="0.2">
      <c r="A221">
        <v>220</v>
      </c>
      <c r="B221" s="1">
        <v>45738.119155092594</v>
      </c>
      <c r="C221" s="2">
        <v>1.1233618164062449</v>
      </c>
      <c r="D221" s="3">
        <v>3.4614331054687497</v>
      </c>
      <c r="E221">
        <f t="shared" si="3"/>
        <v>84.549743673386075</v>
      </c>
    </row>
    <row r="222" spans="1:5" x14ac:dyDescent="0.2">
      <c r="A222">
        <v>221</v>
      </c>
      <c r="B222" s="1">
        <v>45738.327488425923</v>
      </c>
      <c r="C222" s="2">
        <v>1.6810668945312486</v>
      </c>
      <c r="D222" s="3">
        <v>3.4828833007812463</v>
      </c>
      <c r="E222">
        <f t="shared" si="3"/>
        <v>87.898185234083954</v>
      </c>
    </row>
    <row r="223" spans="1:5" x14ac:dyDescent="0.2">
      <c r="A223">
        <v>222</v>
      </c>
      <c r="B223" s="1">
        <v>45738.535821759258</v>
      </c>
      <c r="C223" s="2">
        <v>1.6703417968750003</v>
      </c>
      <c r="D223" s="3">
        <v>3.5365087890624949</v>
      </c>
      <c r="E223">
        <f t="shared" si="3"/>
        <v>87.496124417188113</v>
      </c>
    </row>
    <row r="224" spans="1:5" x14ac:dyDescent="0.2">
      <c r="A224">
        <v>223</v>
      </c>
      <c r="B224" s="1">
        <v>45738.744155092594</v>
      </c>
      <c r="C224" s="2">
        <v>2.8822778320312494</v>
      </c>
      <c r="D224" s="3">
        <v>3.9118872070312491</v>
      </c>
      <c r="E224">
        <f t="shared" si="3"/>
        <v>92.943643312845509</v>
      </c>
    </row>
    <row r="225" spans="1:5" x14ac:dyDescent="0.2">
      <c r="A225">
        <v>224</v>
      </c>
      <c r="B225" s="1">
        <v>45738.952488425923</v>
      </c>
      <c r="C225" s="2">
        <v>2.5605249023437509</v>
      </c>
      <c r="D225" s="3">
        <v>3.9869628906250014</v>
      </c>
      <c r="E225">
        <f t="shared" si="3"/>
        <v>90.348192518623506</v>
      </c>
    </row>
    <row r="226" spans="1:5" x14ac:dyDescent="0.2">
      <c r="A226">
        <v>225</v>
      </c>
      <c r="B226" s="1">
        <v>45739.160821759258</v>
      </c>
      <c r="C226" s="2">
        <v>2.4210986328125017</v>
      </c>
      <c r="D226" s="3">
        <v>3.976237792968746</v>
      </c>
      <c r="E226">
        <f t="shared" si="3"/>
        <v>89.517812232396196</v>
      </c>
    </row>
    <row r="227" spans="1:5" x14ac:dyDescent="0.2">
      <c r="A227">
        <v>226</v>
      </c>
      <c r="B227" s="1">
        <v>45739.369155092594</v>
      </c>
      <c r="C227" s="2">
        <v>1.9062939453124983</v>
      </c>
      <c r="D227" s="3">
        <v>3.8904370117187455</v>
      </c>
      <c r="E227">
        <f t="shared" si="3"/>
        <v>86.791315429601298</v>
      </c>
    </row>
    <row r="228" spans="1:5" x14ac:dyDescent="0.2">
      <c r="A228">
        <v>227</v>
      </c>
      <c r="B228" s="1">
        <v>45739.577488425923</v>
      </c>
      <c r="C228" s="2">
        <v>2.2709472656249972</v>
      </c>
      <c r="D228" s="3">
        <v>3.9011621093750009</v>
      </c>
      <c r="E228">
        <f t="shared" si="3"/>
        <v>89.030301384528229</v>
      </c>
    </row>
    <row r="229" spans="1:5" x14ac:dyDescent="0.2">
      <c r="A229">
        <v>228</v>
      </c>
      <c r="B229" s="1">
        <v>45739.785821759258</v>
      </c>
      <c r="C229" s="2">
        <v>2.5819750976562474</v>
      </c>
      <c r="D229" s="3">
        <v>3.9547875976562494</v>
      </c>
      <c r="E229">
        <f t="shared" si="3"/>
        <v>90.693324413351448</v>
      </c>
    </row>
    <row r="230" spans="1:5" x14ac:dyDescent="0.2">
      <c r="A230">
        <v>229</v>
      </c>
      <c r="B230" s="1">
        <v>45739.994155092594</v>
      </c>
      <c r="C230" s="2">
        <v>2.8822778320312494</v>
      </c>
      <c r="D230" s="3">
        <v>4.04058837890625</v>
      </c>
      <c r="E230">
        <f t="shared" si="3"/>
        <v>92.101271665688486</v>
      </c>
    </row>
    <row r="231" spans="1:5" x14ac:dyDescent="0.2">
      <c r="A231">
        <v>230</v>
      </c>
      <c r="B231" s="1">
        <v>45740.202488425923</v>
      </c>
      <c r="C231" s="2">
        <v>2.96807861328125</v>
      </c>
      <c r="D231" s="3">
        <v>4.0727636718749949</v>
      </c>
      <c r="E231">
        <f t="shared" si="3"/>
        <v>92.456561630691297</v>
      </c>
    </row>
    <row r="232" spans="1:5" x14ac:dyDescent="0.2">
      <c r="A232">
        <v>231</v>
      </c>
      <c r="B232" s="1">
        <v>45740.410821759258</v>
      </c>
      <c r="C232" s="2">
        <v>2.8501025390624974</v>
      </c>
      <c r="D232" s="3">
        <v>4.0727636718749949</v>
      </c>
      <c r="E232">
        <f t="shared" si="3"/>
        <v>91.681078322622298</v>
      </c>
    </row>
    <row r="233" spans="1:5" x14ac:dyDescent="0.2">
      <c r="A233">
        <v>232</v>
      </c>
      <c r="B233" s="1">
        <v>45740.619155092594</v>
      </c>
      <c r="C233" s="2">
        <v>2.5712499999999991</v>
      </c>
      <c r="D233" s="3">
        <v>3.9869628906250014</v>
      </c>
      <c r="E233">
        <f t="shared" si="3"/>
        <v>90.417615924631434</v>
      </c>
    </row>
    <row r="234" spans="1:5" x14ac:dyDescent="0.2">
      <c r="A234">
        <v>233</v>
      </c>
      <c r="B234" s="1">
        <v>45740.827488425923</v>
      </c>
      <c r="C234" s="2">
        <v>2.4103735351562463</v>
      </c>
      <c r="D234" s="3">
        <v>3.9226123046874974</v>
      </c>
      <c r="E234">
        <f t="shared" si="3"/>
        <v>89.789121509064103</v>
      </c>
    </row>
    <row r="235" spans="1:5" x14ac:dyDescent="0.2">
      <c r="A235">
        <v>234</v>
      </c>
      <c r="B235" s="1">
        <v>45741.035821759258</v>
      </c>
      <c r="C235" s="2">
        <v>2.3245727539062457</v>
      </c>
      <c r="D235" s="3">
        <v>3.8904370117187455</v>
      </c>
      <c r="E235">
        <f t="shared" si="3"/>
        <v>89.441615157845064</v>
      </c>
    </row>
    <row r="236" spans="1:5" x14ac:dyDescent="0.2">
      <c r="A236">
        <v>235</v>
      </c>
      <c r="B236" s="1">
        <v>45741.244155092594</v>
      </c>
      <c r="C236" s="2">
        <v>2.4639990234374949</v>
      </c>
      <c r="D236" s="3">
        <v>3.8260864257812486</v>
      </c>
      <c r="E236">
        <f t="shared" si="3"/>
        <v>90.753255388743199</v>
      </c>
    </row>
    <row r="237" spans="1:5" x14ac:dyDescent="0.2">
      <c r="A237">
        <v>236</v>
      </c>
      <c r="B237" s="1">
        <v>45741.452488425923</v>
      </c>
      <c r="C237" s="2">
        <v>2.131520996093748</v>
      </c>
      <c r="D237" s="3">
        <v>3.7831860351562483</v>
      </c>
      <c r="E237">
        <f t="shared" si="3"/>
        <v>88.882610066567636</v>
      </c>
    </row>
    <row r="238" spans="1:5" x14ac:dyDescent="0.2">
      <c r="A238">
        <v>237</v>
      </c>
      <c r="B238" s="1">
        <v>45741.660821759258</v>
      </c>
      <c r="C238" s="2">
        <v>2.0457202148437474</v>
      </c>
      <c r="D238" s="3">
        <v>3.8260864257812486</v>
      </c>
      <c r="E238">
        <f t="shared" si="3"/>
        <v>88.067604564309647</v>
      </c>
    </row>
    <row r="239" spans="1:5" x14ac:dyDescent="0.2">
      <c r="A239">
        <v>238</v>
      </c>
      <c r="B239" s="1">
        <v>45741.869155092594</v>
      </c>
      <c r="C239" s="2">
        <v>2.9573535156250017</v>
      </c>
      <c r="D239" s="3">
        <v>3.976237792968746</v>
      </c>
      <c r="E239">
        <f t="shared" si="3"/>
        <v>93.018565009236639</v>
      </c>
    </row>
    <row r="240" spans="1:5" x14ac:dyDescent="0.2">
      <c r="A240">
        <v>239</v>
      </c>
      <c r="B240" s="1">
        <v>45742.077488425923</v>
      </c>
      <c r="C240" s="2">
        <v>3.171855468749996</v>
      </c>
      <c r="D240" s="3">
        <v>4.0727636718749949</v>
      </c>
      <c r="E240">
        <f t="shared" si="3"/>
        <v>93.809505748186851</v>
      </c>
    </row>
    <row r="241" spans="1:5" x14ac:dyDescent="0.2">
      <c r="A241">
        <v>240</v>
      </c>
      <c r="B241" s="1">
        <v>45742.285821759258</v>
      </c>
      <c r="C241" s="2">
        <v>3.1396801757812511</v>
      </c>
      <c r="D241" s="3">
        <v>4.1263891601562506</v>
      </c>
      <c r="E241">
        <f t="shared" si="3"/>
        <v>93.240755089659061</v>
      </c>
    </row>
    <row r="242" spans="1:5" x14ac:dyDescent="0.2">
      <c r="A242">
        <v>241</v>
      </c>
      <c r="B242" s="1">
        <v>45742.494155092594</v>
      </c>
      <c r="C242" s="2">
        <v>3.3649072265625009</v>
      </c>
      <c r="D242" s="3">
        <v>4.2336401367187477</v>
      </c>
      <c r="E242">
        <f t="shared" si="3"/>
        <v>94.032669806622053</v>
      </c>
    </row>
    <row r="243" spans="1:5" x14ac:dyDescent="0.2">
      <c r="A243">
        <v>242</v>
      </c>
      <c r="B243" s="1">
        <v>45742.702488425923</v>
      </c>
      <c r="C243" s="2">
        <v>4.2550903320312514</v>
      </c>
      <c r="D243" s="3">
        <v>4.6626440429687506</v>
      </c>
      <c r="E243">
        <f t="shared" si="3"/>
        <v>97.170826351702203</v>
      </c>
    </row>
    <row r="244" spans="1:5" x14ac:dyDescent="0.2">
      <c r="A244">
        <v>243</v>
      </c>
      <c r="B244" s="1">
        <v>45742.910821759258</v>
      </c>
      <c r="C244" s="2">
        <v>4.512492675781246</v>
      </c>
      <c r="D244" s="3">
        <v>4.8235205078124963</v>
      </c>
      <c r="E244">
        <f t="shared" si="3"/>
        <v>97.837428701376709</v>
      </c>
    </row>
    <row r="245" spans="1:5" x14ac:dyDescent="0.2">
      <c r="A245">
        <v>244</v>
      </c>
      <c r="B245" s="1">
        <v>45743.119155092594</v>
      </c>
      <c r="C245" s="2">
        <v>4.4695922851562457</v>
      </c>
      <c r="D245" s="3">
        <v>4.8020703124999997</v>
      </c>
      <c r="E245">
        <f t="shared" si="3"/>
        <v>97.689385874187892</v>
      </c>
    </row>
    <row r="246" spans="1:5" x14ac:dyDescent="0.2">
      <c r="A246">
        <v>245</v>
      </c>
      <c r="B246" s="1">
        <v>45743.327488425923</v>
      </c>
      <c r="C246" s="2">
        <v>4.1800146484374991</v>
      </c>
      <c r="D246" s="3">
        <v>4.6840942382812472</v>
      </c>
      <c r="E246">
        <f t="shared" si="3"/>
        <v>96.511705331547006</v>
      </c>
    </row>
    <row r="247" spans="1:5" x14ac:dyDescent="0.2">
      <c r="A247">
        <v>246</v>
      </c>
      <c r="B247" s="1">
        <v>45743.535821759258</v>
      </c>
      <c r="C247" s="2">
        <v>3.6759350585937511</v>
      </c>
      <c r="D247" s="3">
        <v>4.5875683593749983</v>
      </c>
      <c r="E247">
        <f t="shared" si="3"/>
        <v>93.764495460505316</v>
      </c>
    </row>
    <row r="248" spans="1:5" x14ac:dyDescent="0.2">
      <c r="A248">
        <v>247</v>
      </c>
      <c r="B248" s="1">
        <v>45743.744155092594</v>
      </c>
      <c r="C248" s="2">
        <v>3.6544848632812474</v>
      </c>
      <c r="D248" s="3">
        <v>4.5875683593749983</v>
      </c>
      <c r="E248">
        <f t="shared" si="3"/>
        <v>93.621958669688041</v>
      </c>
    </row>
    <row r="249" spans="1:5" x14ac:dyDescent="0.2">
      <c r="A249">
        <v>248</v>
      </c>
      <c r="B249" s="1">
        <v>45743.952488425923</v>
      </c>
      <c r="C249" s="2">
        <v>2.8715527343750011</v>
      </c>
      <c r="D249" s="3">
        <v>4.3194409179687483</v>
      </c>
      <c r="E249">
        <f t="shared" si="3"/>
        <v>90.235991639426658</v>
      </c>
    </row>
    <row r="250" spans="1:5" x14ac:dyDescent="0.2">
      <c r="A250">
        <v>249</v>
      </c>
      <c r="B250" s="1">
        <v>45744.160821759258</v>
      </c>
      <c r="C250" s="2">
        <v>2.3781982421875014</v>
      </c>
      <c r="D250" s="3">
        <v>4.1692895507812509</v>
      </c>
      <c r="E250">
        <f t="shared" si="3"/>
        <v>88.032888092059508</v>
      </c>
    </row>
    <row r="251" spans="1:5" x14ac:dyDescent="0.2">
      <c r="A251">
        <v>250</v>
      </c>
      <c r="B251" s="1">
        <v>45744.369155092594</v>
      </c>
      <c r="C251" s="2">
        <v>1.7239672851562489</v>
      </c>
      <c r="D251" s="3">
        <v>3.9869628906250014</v>
      </c>
      <c r="E251">
        <f t="shared" si="3"/>
        <v>85.074165127733252</v>
      </c>
    </row>
    <row r="252" spans="1:5" x14ac:dyDescent="0.2">
      <c r="A252">
        <v>251</v>
      </c>
      <c r="B252" s="1">
        <v>45744.577488425923</v>
      </c>
      <c r="C252" s="2">
        <v>2.1207958984374997</v>
      </c>
      <c r="D252" s="3">
        <v>3.9440625000000011</v>
      </c>
      <c r="E252">
        <f t="shared" si="3"/>
        <v>87.807732648626185</v>
      </c>
    </row>
    <row r="253" spans="1:5" x14ac:dyDescent="0.2">
      <c r="A253">
        <v>252</v>
      </c>
      <c r="B253" s="1">
        <v>45744.785821759258</v>
      </c>
      <c r="C253" s="2">
        <v>2.7643017578124969</v>
      </c>
      <c r="D253" s="3">
        <v>4.0834887695312503</v>
      </c>
      <c r="E253">
        <f t="shared" si="3"/>
        <v>91.051600755006831</v>
      </c>
    </row>
    <row r="254" spans="1:5" x14ac:dyDescent="0.2">
      <c r="A254">
        <v>253</v>
      </c>
      <c r="B254" s="1">
        <v>45744.994155092594</v>
      </c>
      <c r="C254" s="2">
        <v>2.5497998046874955</v>
      </c>
      <c r="D254" s="3">
        <v>3.9440625000000011</v>
      </c>
      <c r="E254">
        <f t="shared" si="3"/>
        <v>90.553288304840791</v>
      </c>
    </row>
    <row r="255" spans="1:5" x14ac:dyDescent="0.2">
      <c r="A255">
        <v>254</v>
      </c>
      <c r="B255" s="1">
        <v>45745.202488425923</v>
      </c>
      <c r="C255" s="2">
        <v>2.667775878906248</v>
      </c>
      <c r="D255" s="3">
        <v>3.9976879882812497</v>
      </c>
      <c r="E255">
        <f t="shared" si="3"/>
        <v>90.97547163310351</v>
      </c>
    </row>
    <row r="256" spans="1:5" x14ac:dyDescent="0.2">
      <c r="A256">
        <v>255</v>
      </c>
      <c r="B256" s="1">
        <v>45745.410821759258</v>
      </c>
      <c r="C256" s="2">
        <v>2.4210986328125017</v>
      </c>
      <c r="D256" s="3">
        <v>3.8904370117187455</v>
      </c>
      <c r="E256">
        <f t="shared" si="3"/>
        <v>90.063138007846263</v>
      </c>
    </row>
    <row r="257" spans="1:5" x14ac:dyDescent="0.2">
      <c r="A257">
        <v>256</v>
      </c>
      <c r="B257" s="1">
        <v>45745.619155092594</v>
      </c>
      <c r="C257" s="2">
        <v>2.635600585937496</v>
      </c>
      <c r="D257" s="3">
        <v>3.9655126953124977</v>
      </c>
      <c r="E257">
        <f t="shared" si="3"/>
        <v>90.97309220747708</v>
      </c>
    </row>
    <row r="258" spans="1:5" x14ac:dyDescent="0.2">
      <c r="A258">
        <v>257</v>
      </c>
      <c r="B258" s="1">
        <v>45745.827488425923</v>
      </c>
      <c r="C258" s="2">
        <v>2.4639990234374949</v>
      </c>
      <c r="D258" s="3">
        <v>3.9118872070312491</v>
      </c>
      <c r="E258">
        <f t="shared" si="3"/>
        <v>90.203480826044284</v>
      </c>
    </row>
    <row r="259" spans="1:5" x14ac:dyDescent="0.2">
      <c r="A259">
        <v>258</v>
      </c>
      <c r="B259" s="1">
        <v>45746.035821759258</v>
      </c>
      <c r="C259" s="2">
        <v>2.5927001953124957</v>
      </c>
      <c r="D259" s="3">
        <v>3.9547875976562494</v>
      </c>
      <c r="E259">
        <f t="shared" ref="E259:E309" si="4">MAX(0, MIN(100,100*((EXP((17.625*C259)/(243.04+C259))-(0.00066*(1+0.00115*C259)*(D259-C259)))/(EXP((17.625*D259)/(243.04+D259))))))</f>
        <v>90.762998028688216</v>
      </c>
    </row>
    <row r="260" spans="1:5" x14ac:dyDescent="0.2">
      <c r="A260">
        <v>259</v>
      </c>
      <c r="B260" s="1">
        <v>45746.244155092594</v>
      </c>
      <c r="C260" s="2">
        <v>2.7535766601562486</v>
      </c>
      <c r="D260" s="3">
        <v>3.9869628906250014</v>
      </c>
      <c r="E260">
        <f t="shared" si="4"/>
        <v>91.604946922560799</v>
      </c>
    </row>
    <row r="261" spans="1:5" x14ac:dyDescent="0.2">
      <c r="A261">
        <v>260</v>
      </c>
      <c r="B261" s="1">
        <v>45746.452488425923</v>
      </c>
      <c r="C261" s="2">
        <v>2.4425488281249983</v>
      </c>
      <c r="D261" s="3">
        <v>3.9118872070312491</v>
      </c>
      <c r="E261">
        <f t="shared" si="4"/>
        <v>90.064877933071514</v>
      </c>
    </row>
    <row r="262" spans="1:5" x14ac:dyDescent="0.2">
      <c r="A262">
        <v>261</v>
      </c>
      <c r="B262" s="1">
        <v>45746.660821759258</v>
      </c>
      <c r="C262" s="2">
        <v>2.4532739257812466</v>
      </c>
      <c r="D262" s="3">
        <v>3.9118872070312491</v>
      </c>
      <c r="E262">
        <f t="shared" si="4"/>
        <v>90.134156167054641</v>
      </c>
    </row>
    <row r="263" spans="1:5" x14ac:dyDescent="0.2">
      <c r="A263">
        <v>262</v>
      </c>
      <c r="B263" s="1">
        <v>45746.869155092594</v>
      </c>
      <c r="C263" s="2">
        <v>2.5390747070312472</v>
      </c>
      <c r="D263" s="3">
        <v>3.9333374023437457</v>
      </c>
      <c r="E263">
        <f t="shared" si="4"/>
        <v>90.552459488273811</v>
      </c>
    </row>
    <row r="264" spans="1:5" x14ac:dyDescent="0.2">
      <c r="A264">
        <v>263</v>
      </c>
      <c r="B264" s="1">
        <v>45747.077488425923</v>
      </c>
      <c r="C264" s="2">
        <v>2.5068994140624952</v>
      </c>
      <c r="D264" s="3">
        <v>3.9440625000000011</v>
      </c>
      <c r="E264">
        <f t="shared" si="4"/>
        <v>90.275408624919976</v>
      </c>
    </row>
    <row r="265" spans="1:5" x14ac:dyDescent="0.2">
      <c r="A265">
        <v>264</v>
      </c>
      <c r="B265" s="1">
        <v>45747.285821759258</v>
      </c>
      <c r="C265" s="2">
        <v>1.9599194335937469</v>
      </c>
      <c r="D265" s="3">
        <v>3.8475366210937452</v>
      </c>
      <c r="E265">
        <f t="shared" si="4"/>
        <v>87.392412955110075</v>
      </c>
    </row>
    <row r="266" spans="1:5" x14ac:dyDescent="0.2">
      <c r="A266">
        <v>265</v>
      </c>
      <c r="B266" s="1">
        <v>45747.494155092594</v>
      </c>
      <c r="C266" s="2">
        <v>1.7025170898437452</v>
      </c>
      <c r="D266" s="3">
        <v>3.8260864257812486</v>
      </c>
      <c r="E266">
        <f t="shared" si="4"/>
        <v>85.915961414627375</v>
      </c>
    </row>
    <row r="267" spans="1:5" x14ac:dyDescent="0.2">
      <c r="A267">
        <v>266</v>
      </c>
      <c r="B267" s="1">
        <v>45747.702488425923</v>
      </c>
      <c r="C267" s="2">
        <v>1.8741186523437463</v>
      </c>
      <c r="D267" s="3">
        <v>3.9011621093750009</v>
      </c>
      <c r="E267">
        <f t="shared" si="4"/>
        <v>86.52455789545931</v>
      </c>
    </row>
    <row r="268" spans="1:5" x14ac:dyDescent="0.2">
      <c r="A268">
        <v>267</v>
      </c>
      <c r="B268" s="1">
        <v>45747.910821759258</v>
      </c>
      <c r="C268" s="2">
        <v>2.9251782226562497</v>
      </c>
      <c r="D268" s="3">
        <v>4.0727636718749949</v>
      </c>
      <c r="E268">
        <f t="shared" si="4"/>
        <v>92.173908805697451</v>
      </c>
    </row>
    <row r="269" spans="1:5" x14ac:dyDescent="0.2">
      <c r="A269">
        <v>268</v>
      </c>
      <c r="B269" s="1">
        <v>45748.119155092594</v>
      </c>
      <c r="C269" s="2">
        <v>3.0753295898437472</v>
      </c>
      <c r="D269" s="3">
        <v>4.1478393554687472</v>
      </c>
      <c r="E269">
        <f t="shared" si="4"/>
        <v>92.673585794155059</v>
      </c>
    </row>
    <row r="270" spans="1:5" x14ac:dyDescent="0.2">
      <c r="A270">
        <v>269</v>
      </c>
      <c r="B270" s="1">
        <v>45748.327488425923</v>
      </c>
      <c r="C270" s="2">
        <v>3.0217041015624986</v>
      </c>
      <c r="D270" s="3">
        <v>4.1478393554687472</v>
      </c>
      <c r="E270">
        <f t="shared" si="4"/>
        <v>92.319891398844874</v>
      </c>
    </row>
    <row r="271" spans="1:5" x14ac:dyDescent="0.2">
      <c r="A271">
        <v>270</v>
      </c>
      <c r="B271" s="1">
        <v>45748.535821759258</v>
      </c>
      <c r="C271" s="2">
        <v>3.204030761718748</v>
      </c>
      <c r="D271" s="3">
        <v>4.2014648437499957</v>
      </c>
      <c r="E271">
        <f t="shared" si="4"/>
        <v>93.173768146333742</v>
      </c>
    </row>
    <row r="272" spans="1:5" x14ac:dyDescent="0.2">
      <c r="A272">
        <v>271</v>
      </c>
      <c r="B272" s="1">
        <v>45748.744155092594</v>
      </c>
      <c r="C272" s="2">
        <v>2.8179272460937455</v>
      </c>
      <c r="D272" s="3">
        <v>4.2014648437499957</v>
      </c>
      <c r="E272">
        <f t="shared" si="4"/>
        <v>90.642585170725624</v>
      </c>
    </row>
    <row r="273" spans="1:5" x14ac:dyDescent="0.2">
      <c r="A273">
        <v>272</v>
      </c>
      <c r="B273" s="1">
        <v>45748.952488425923</v>
      </c>
      <c r="C273" s="2">
        <v>2.2494970703125006</v>
      </c>
      <c r="D273" s="3">
        <v>4.0727636718749949</v>
      </c>
      <c r="E273">
        <f t="shared" si="4"/>
        <v>87.820389199292464</v>
      </c>
    </row>
    <row r="274" spans="1:5" x14ac:dyDescent="0.2">
      <c r="A274">
        <v>273</v>
      </c>
      <c r="B274" s="1">
        <v>45749.160821759258</v>
      </c>
      <c r="C274" s="2">
        <v>2.131520996093748</v>
      </c>
      <c r="D274" s="3">
        <v>3.976237792968746</v>
      </c>
      <c r="E274">
        <f t="shared" si="4"/>
        <v>87.6755792250475</v>
      </c>
    </row>
    <row r="275" spans="1:5" x14ac:dyDescent="0.2">
      <c r="A275">
        <v>274</v>
      </c>
      <c r="B275" s="1">
        <v>45749.369155092594</v>
      </c>
      <c r="C275" s="2">
        <v>1.8848437500000017</v>
      </c>
      <c r="D275" s="3">
        <v>3.8260864257812486</v>
      </c>
      <c r="E275">
        <f t="shared" si="4"/>
        <v>87.053250352848238</v>
      </c>
    </row>
    <row r="276" spans="1:5" x14ac:dyDescent="0.2">
      <c r="A276">
        <v>275</v>
      </c>
      <c r="B276" s="1">
        <v>45749.577488425923</v>
      </c>
      <c r="C276" s="2">
        <v>2.3245727539062457</v>
      </c>
      <c r="D276" s="3">
        <v>3.8153613281249998</v>
      </c>
      <c r="E276">
        <f t="shared" si="4"/>
        <v>89.918522437361503</v>
      </c>
    </row>
    <row r="277" spans="1:5" x14ac:dyDescent="0.2">
      <c r="A277">
        <v>276</v>
      </c>
      <c r="B277" s="1">
        <v>45749.785821759258</v>
      </c>
      <c r="C277" s="2">
        <v>2.5712499999999991</v>
      </c>
      <c r="D277" s="3">
        <v>3.8582617187500006</v>
      </c>
      <c r="E277">
        <f t="shared" si="4"/>
        <v>91.245086519817903</v>
      </c>
    </row>
    <row r="278" spans="1:5" x14ac:dyDescent="0.2">
      <c r="A278">
        <v>277</v>
      </c>
      <c r="B278" s="1">
        <v>45749.994155092594</v>
      </c>
      <c r="C278" s="2">
        <v>2.903728027343746</v>
      </c>
      <c r="D278" s="3">
        <v>3.9976879882812497</v>
      </c>
      <c r="E278">
        <f t="shared" si="4"/>
        <v>92.522713593996826</v>
      </c>
    </row>
    <row r="279" spans="1:5" x14ac:dyDescent="0.2">
      <c r="A279">
        <v>278</v>
      </c>
      <c r="B279" s="1">
        <v>45750.202488425923</v>
      </c>
      <c r="C279" s="2">
        <v>3.439982910156246</v>
      </c>
      <c r="D279" s="3">
        <v>4.2872656249999963</v>
      </c>
      <c r="E279">
        <f t="shared" si="4"/>
        <v>94.178774470655441</v>
      </c>
    </row>
    <row r="280" spans="1:5" x14ac:dyDescent="0.2">
      <c r="A280">
        <v>279</v>
      </c>
      <c r="B280" s="1">
        <v>45750.410821759258</v>
      </c>
      <c r="C280" s="2">
        <v>3.1182299804687474</v>
      </c>
      <c r="D280" s="3">
        <v>4.2229150390624994</v>
      </c>
      <c r="E280">
        <f t="shared" si="4"/>
        <v>92.465888343833441</v>
      </c>
    </row>
    <row r="281" spans="1:5" x14ac:dyDescent="0.2">
      <c r="A281">
        <v>280</v>
      </c>
      <c r="B281" s="1">
        <v>45750.619155092594</v>
      </c>
      <c r="C281" s="2">
        <v>2.9895288085937466</v>
      </c>
      <c r="D281" s="3">
        <v>4.2229150390624994</v>
      </c>
      <c r="E281">
        <f t="shared" si="4"/>
        <v>91.62119391633793</v>
      </c>
    </row>
    <row r="282" spans="1:5" x14ac:dyDescent="0.2">
      <c r="A282">
        <v>281</v>
      </c>
      <c r="B282" s="1">
        <v>45750.827488425923</v>
      </c>
      <c r="C282" s="2">
        <v>3.3649072265625009</v>
      </c>
      <c r="D282" s="3">
        <v>4.3730664062499969</v>
      </c>
      <c r="E282">
        <f t="shared" si="4"/>
        <v>93.112398163326134</v>
      </c>
    </row>
    <row r="283" spans="1:5" x14ac:dyDescent="0.2">
      <c r="A283">
        <v>282</v>
      </c>
      <c r="B283" s="1">
        <v>45751.035821759258</v>
      </c>
      <c r="C283" s="2">
        <v>3.3649072265625009</v>
      </c>
      <c r="D283" s="3">
        <v>4.3516162109375003</v>
      </c>
      <c r="E283">
        <f t="shared" si="4"/>
        <v>93.253323221736707</v>
      </c>
    </row>
    <row r="284" spans="1:5" x14ac:dyDescent="0.2">
      <c r="A284">
        <v>283</v>
      </c>
      <c r="B284" s="1">
        <v>45751.244155092594</v>
      </c>
      <c r="C284" s="2">
        <v>3.3970825195312457</v>
      </c>
      <c r="D284" s="3">
        <v>4.3730664062499969</v>
      </c>
      <c r="E284">
        <f t="shared" si="4"/>
        <v>93.325648663357285</v>
      </c>
    </row>
    <row r="285" spans="1:5" x14ac:dyDescent="0.2">
      <c r="A285">
        <v>284</v>
      </c>
      <c r="B285" s="1">
        <v>45751.452488425923</v>
      </c>
      <c r="C285" s="2">
        <v>3.6437597656249991</v>
      </c>
      <c r="D285" s="3">
        <v>4.4266918945312455</v>
      </c>
      <c r="E285">
        <f t="shared" si="4"/>
        <v>94.616514807876769</v>
      </c>
    </row>
    <row r="286" spans="1:5" x14ac:dyDescent="0.2">
      <c r="A286">
        <v>285</v>
      </c>
      <c r="B286" s="1">
        <v>45751.660821759258</v>
      </c>
      <c r="C286" s="2">
        <v>4.3730664062499969</v>
      </c>
      <c r="D286" s="3">
        <v>4.8020703124999997</v>
      </c>
      <c r="E286">
        <f t="shared" si="4"/>
        <v>97.027349354391617</v>
      </c>
    </row>
    <row r="287" spans="1:5" x14ac:dyDescent="0.2">
      <c r="A287">
        <v>286</v>
      </c>
      <c r="B287" s="1">
        <v>45751.869155092594</v>
      </c>
      <c r="C287" s="2">
        <v>4.2014648437499957</v>
      </c>
      <c r="D287" s="3">
        <v>4.6411938476562469</v>
      </c>
      <c r="E287">
        <f t="shared" si="4"/>
        <v>96.949927219102378</v>
      </c>
    </row>
    <row r="288" spans="1:5" x14ac:dyDescent="0.2">
      <c r="A288">
        <v>287</v>
      </c>
      <c r="B288" s="1">
        <v>45752.077488425923</v>
      </c>
      <c r="C288" s="2">
        <v>3.8046362304687449</v>
      </c>
      <c r="D288" s="3">
        <v>4.5339428710937497</v>
      </c>
      <c r="E288">
        <f t="shared" si="4"/>
        <v>94.981483224428899</v>
      </c>
    </row>
    <row r="289" spans="1:5" x14ac:dyDescent="0.2">
      <c r="A289">
        <v>288</v>
      </c>
      <c r="B289" s="1">
        <v>45752.285821759258</v>
      </c>
      <c r="C289" s="2">
        <v>3.3649072265625009</v>
      </c>
      <c r="D289" s="3">
        <v>4.4374169921875009</v>
      </c>
      <c r="E289">
        <f t="shared" si="4"/>
        <v>92.69104415864706</v>
      </c>
    </row>
    <row r="290" spans="1:5" x14ac:dyDescent="0.2">
      <c r="A290">
        <v>289</v>
      </c>
      <c r="B290" s="1">
        <v>45752.494155092594</v>
      </c>
      <c r="C290" s="2">
        <v>3.0324291992187469</v>
      </c>
      <c r="D290" s="3">
        <v>4.3194409179687483</v>
      </c>
      <c r="E290">
        <f t="shared" si="4"/>
        <v>91.278123058089747</v>
      </c>
    </row>
    <row r="291" spans="1:5" x14ac:dyDescent="0.2">
      <c r="A291">
        <v>290</v>
      </c>
      <c r="B291" s="1">
        <v>45752.702488425923</v>
      </c>
      <c r="C291" s="2">
        <v>2.8822778320312494</v>
      </c>
      <c r="D291" s="3">
        <v>4.3408911132812449</v>
      </c>
      <c r="E291">
        <f t="shared" si="4"/>
        <v>90.168603378924814</v>
      </c>
    </row>
    <row r="292" spans="1:5" x14ac:dyDescent="0.2">
      <c r="A292">
        <v>291</v>
      </c>
      <c r="B292" s="1">
        <v>45752.910821759258</v>
      </c>
      <c r="C292" s="2">
        <v>2.96807861328125</v>
      </c>
      <c r="D292" s="3">
        <v>4.3194409179687483</v>
      </c>
      <c r="E292">
        <f t="shared" si="4"/>
        <v>90.860018645735565</v>
      </c>
    </row>
    <row r="293" spans="1:5" x14ac:dyDescent="0.2">
      <c r="A293">
        <v>292</v>
      </c>
      <c r="B293" s="1">
        <v>45753.119155092594</v>
      </c>
      <c r="C293" s="2">
        <v>3.2791064453125003</v>
      </c>
      <c r="D293" s="3">
        <v>4.3194409179687483</v>
      </c>
      <c r="E293">
        <f t="shared" si="4"/>
        <v>92.896433046074662</v>
      </c>
    </row>
    <row r="294" spans="1:5" x14ac:dyDescent="0.2">
      <c r="A294">
        <v>293</v>
      </c>
      <c r="B294" s="1">
        <v>45753.327488425923</v>
      </c>
      <c r="C294" s="2">
        <v>3.3112817382812452</v>
      </c>
      <c r="D294" s="3">
        <v>4.3194409179687483</v>
      </c>
      <c r="E294">
        <f t="shared" si="4"/>
        <v>93.109349748544417</v>
      </c>
    </row>
    <row r="295" spans="1:5" x14ac:dyDescent="0.2">
      <c r="A295">
        <v>294</v>
      </c>
      <c r="B295" s="1">
        <v>45753.535821759258</v>
      </c>
      <c r="C295" s="2">
        <v>3.7724609375</v>
      </c>
      <c r="D295" s="3">
        <v>4.512492675781246</v>
      </c>
      <c r="E295">
        <f t="shared" si="4"/>
        <v>94.908444783591477</v>
      </c>
    </row>
    <row r="296" spans="1:5" x14ac:dyDescent="0.2">
      <c r="A296">
        <v>295</v>
      </c>
      <c r="B296" s="1">
        <v>45753.744155092594</v>
      </c>
      <c r="C296" s="2">
        <v>3.5365087890624949</v>
      </c>
      <c r="D296" s="3">
        <v>4.5661181640625017</v>
      </c>
      <c r="E296">
        <f t="shared" si="4"/>
        <v>92.981639207280125</v>
      </c>
    </row>
    <row r="297" spans="1:5" x14ac:dyDescent="0.2">
      <c r="A297">
        <v>296</v>
      </c>
      <c r="B297" s="1">
        <v>45753.952488425923</v>
      </c>
      <c r="C297" s="2">
        <v>3.3220068359375006</v>
      </c>
      <c r="D297" s="3">
        <v>4.3516162109375003</v>
      </c>
      <c r="E297">
        <f t="shared" si="4"/>
        <v>92.969223910922622</v>
      </c>
    </row>
    <row r="298" spans="1:5" x14ac:dyDescent="0.2">
      <c r="A298">
        <v>297</v>
      </c>
      <c r="B298" s="1">
        <v>45754.160821759258</v>
      </c>
      <c r="C298" s="2">
        <v>2.7321264648437449</v>
      </c>
      <c r="D298" s="3">
        <v>4.1371142578124989</v>
      </c>
      <c r="E298">
        <f t="shared" si="4"/>
        <v>90.498748598079374</v>
      </c>
    </row>
    <row r="299" spans="1:5" x14ac:dyDescent="0.2">
      <c r="A299">
        <v>298</v>
      </c>
      <c r="B299" s="1">
        <v>45754.369155092594</v>
      </c>
      <c r="C299" s="2">
        <v>2.0886206054687477</v>
      </c>
      <c r="D299" s="3">
        <v>3.9118872070312491</v>
      </c>
      <c r="E299">
        <f t="shared" si="4"/>
        <v>87.804564600143166</v>
      </c>
    </row>
    <row r="300" spans="1:5" x14ac:dyDescent="0.2">
      <c r="A300">
        <v>299</v>
      </c>
      <c r="B300" s="1">
        <v>45754.577488425923</v>
      </c>
      <c r="C300" s="2">
        <v>1.6167163085937517</v>
      </c>
      <c r="D300" s="3">
        <v>3.708110351562496</v>
      </c>
      <c r="E300">
        <f t="shared" si="4"/>
        <v>86.102573921335178</v>
      </c>
    </row>
    <row r="301" spans="1:5" x14ac:dyDescent="0.2">
      <c r="A301">
        <v>300</v>
      </c>
      <c r="B301" s="1">
        <v>45754.785821759258</v>
      </c>
      <c r="C301" s="2">
        <v>1.5201904296874957</v>
      </c>
      <c r="D301" s="3">
        <v>3.708110351562496</v>
      </c>
      <c r="E301">
        <f t="shared" si="4"/>
        <v>85.503999800077906</v>
      </c>
    </row>
    <row r="302" spans="1:5" x14ac:dyDescent="0.2">
      <c r="A302">
        <v>301</v>
      </c>
      <c r="B302" s="1">
        <v>45754.994155092594</v>
      </c>
      <c r="C302" s="2">
        <v>2.5283496093749989</v>
      </c>
      <c r="D302" s="3">
        <v>3.9226123046874974</v>
      </c>
      <c r="E302">
        <f t="shared" si="4"/>
        <v>90.551630534016255</v>
      </c>
    </row>
    <row r="303" spans="1:5" x14ac:dyDescent="0.2">
      <c r="A303">
        <v>302</v>
      </c>
      <c r="B303" s="1">
        <v>45755.202488425923</v>
      </c>
      <c r="C303" s="2">
        <v>2.8822778320312494</v>
      </c>
      <c r="D303" s="3">
        <v>4.008413085937498</v>
      </c>
      <c r="E303">
        <f t="shared" si="4"/>
        <v>92.31106468679954</v>
      </c>
    </row>
    <row r="304" spans="1:5" x14ac:dyDescent="0.2">
      <c r="A304">
        <v>303</v>
      </c>
      <c r="B304" s="1">
        <v>45755.410821759258</v>
      </c>
      <c r="C304" s="2">
        <v>2.8822778320312494</v>
      </c>
      <c r="D304" s="3">
        <v>4.0620385742187466</v>
      </c>
      <c r="E304">
        <f t="shared" si="4"/>
        <v>91.961704628582524</v>
      </c>
    </row>
    <row r="305" spans="1:5" x14ac:dyDescent="0.2">
      <c r="A305">
        <v>304</v>
      </c>
      <c r="B305" s="1">
        <v>45755.619155092594</v>
      </c>
      <c r="C305" s="2">
        <v>2.367473144531246</v>
      </c>
      <c r="D305" s="3">
        <v>4.0620385742187466</v>
      </c>
      <c r="E305">
        <f t="shared" si="4"/>
        <v>88.634547936383996</v>
      </c>
    </row>
    <row r="306" spans="1:5" x14ac:dyDescent="0.2">
      <c r="A306">
        <v>305</v>
      </c>
      <c r="B306" s="1">
        <v>45755.827488425923</v>
      </c>
      <c r="C306" s="2">
        <v>2.7106762695312483</v>
      </c>
      <c r="D306" s="3">
        <v>4.0620385742187466</v>
      </c>
      <c r="E306">
        <f t="shared" si="4"/>
        <v>90.840763763774518</v>
      </c>
    </row>
    <row r="307" spans="1:5" x14ac:dyDescent="0.2">
      <c r="A307">
        <v>306</v>
      </c>
      <c r="B307" s="1">
        <v>45756.035821759258</v>
      </c>
      <c r="C307" s="2">
        <v>2.9788037109374983</v>
      </c>
      <c r="D307" s="3">
        <v>4.1156640624999952</v>
      </c>
      <c r="E307">
        <f t="shared" si="4"/>
        <v>92.247240611398368</v>
      </c>
    </row>
    <row r="308" spans="1:5" x14ac:dyDescent="0.2">
      <c r="A308">
        <v>307</v>
      </c>
      <c r="B308" s="1">
        <v>45756.244155092594</v>
      </c>
      <c r="C308" s="2">
        <v>3.0538793945312506</v>
      </c>
      <c r="D308" s="3">
        <v>4.1478393554687472</v>
      </c>
      <c r="E308">
        <f t="shared" si="4"/>
        <v>92.531966552211458</v>
      </c>
    </row>
    <row r="309" spans="1:5" x14ac:dyDescent="0.2">
      <c r="A309">
        <v>308</v>
      </c>
      <c r="B309" s="1">
        <v>45756.452488425923</v>
      </c>
      <c r="C309" s="2">
        <v>2.9466284179687463</v>
      </c>
      <c r="D309" s="3">
        <v>4.1585644531249955</v>
      </c>
      <c r="E309">
        <f t="shared" si="4"/>
        <v>91.757153618090641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3203125" defaultRowHeight="15" x14ac:dyDescent="0.2"/>
  <cols>
    <col min="1" max="1" width="1.1640625" bestFit="1" customWidth="1"/>
    <col min="2" max="2" width="18.5" style="4" bestFit="1" customWidth="1"/>
    <col min="3" max="3" width="14" bestFit="1" customWidth="1"/>
    <col min="5" max="5" width="6.5" bestFit="1" customWidth="1"/>
  </cols>
  <sheetData>
    <row r="1" spans="1:5" x14ac:dyDescent="0.2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2">
      <c r="A2">
        <v>1</v>
      </c>
      <c r="B2" s="4">
        <v>45692.45888888889</v>
      </c>
      <c r="E2" t="s">
        <v>5</v>
      </c>
    </row>
    <row r="3" spans="1:5" x14ac:dyDescent="0.2">
      <c r="A3">
        <v>2</v>
      </c>
      <c r="B3" s="4">
        <v>45756.558854166666</v>
      </c>
      <c r="C3" t="s">
        <v>5</v>
      </c>
      <c r="D3" t="s">
        <v>5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4.83203125" bestFit="1" customWidth="1"/>
    <col min="2" max="2" width="14.83203125" bestFit="1" customWidth="1"/>
    <col min="3" max="3" width="36.6640625" bestFit="1" customWidth="1"/>
    <col min="4" max="4" width="25.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5" t="s">
        <v>11</v>
      </c>
      <c r="D4" t="s">
        <v>12</v>
      </c>
    </row>
    <row r="5" spans="1:4" x14ac:dyDescent="0.2">
      <c r="C5" s="5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5" t="s">
        <v>16</v>
      </c>
      <c r="D7" t="s">
        <v>17</v>
      </c>
    </row>
    <row r="8" spans="1:4" x14ac:dyDescent="0.2">
      <c r="C8" s="5" t="s">
        <v>18</v>
      </c>
      <c r="D8" t="s">
        <v>19</v>
      </c>
    </row>
    <row r="9" spans="1:4" x14ac:dyDescent="0.2">
      <c r="C9" s="5" t="s">
        <v>20</v>
      </c>
      <c r="D9" t="s">
        <v>21</v>
      </c>
    </row>
    <row r="10" spans="1:4" x14ac:dyDescent="0.2">
      <c r="C10" s="5" t="s">
        <v>22</v>
      </c>
      <c r="D10" t="s">
        <v>23</v>
      </c>
    </row>
    <row r="11" spans="1:4" x14ac:dyDescent="0.2">
      <c r="C11" s="5" t="s">
        <v>24</v>
      </c>
      <c r="D11" t="s">
        <v>25</v>
      </c>
    </row>
    <row r="12" spans="1:4" x14ac:dyDescent="0.2">
      <c r="C12" s="5" t="s">
        <v>26</v>
      </c>
      <c r="D12" t="s">
        <v>27</v>
      </c>
    </row>
    <row r="13" spans="1:4" x14ac:dyDescent="0.2">
      <c r="B13" t="s">
        <v>28</v>
      </c>
    </row>
    <row r="14" spans="1:4" x14ac:dyDescent="0.2">
      <c r="C14" s="5" t="s">
        <v>29</v>
      </c>
      <c r="D14" t="s">
        <v>30</v>
      </c>
    </row>
    <row r="15" spans="1:4" x14ac:dyDescent="0.2">
      <c r="C15" s="5" t="s">
        <v>31</v>
      </c>
      <c r="D15" t="s">
        <v>32</v>
      </c>
    </row>
    <row r="16" spans="1:4" x14ac:dyDescent="0.2">
      <c r="C16" s="5" t="s">
        <v>33</v>
      </c>
      <c r="D16" t="s">
        <v>34</v>
      </c>
    </row>
    <row r="17" spans="1:4" x14ac:dyDescent="0.2">
      <c r="C17" s="5" t="s">
        <v>35</v>
      </c>
      <c r="D17" t="s">
        <v>36</v>
      </c>
    </row>
    <row r="18" spans="1:4" x14ac:dyDescent="0.2">
      <c r="C18" s="5" t="s">
        <v>37</v>
      </c>
      <c r="D18" t="s">
        <v>38</v>
      </c>
    </row>
    <row r="19" spans="1:4" x14ac:dyDescent="0.2">
      <c r="C19" s="5" t="s">
        <v>39</v>
      </c>
      <c r="D19" t="s">
        <v>27</v>
      </c>
    </row>
    <row r="20" spans="1:4" x14ac:dyDescent="0.2">
      <c r="C20" s="5" t="s">
        <v>40</v>
      </c>
      <c r="D20" t="s">
        <v>41</v>
      </c>
    </row>
    <row r="21" spans="1:4" x14ac:dyDescent="0.2">
      <c r="C21" s="5" t="s">
        <v>42</v>
      </c>
      <c r="D21" t="s">
        <v>43</v>
      </c>
    </row>
    <row r="22" spans="1:4" x14ac:dyDescent="0.2">
      <c r="C22" s="5" t="s">
        <v>44</v>
      </c>
      <c r="D22" t="s">
        <v>45</v>
      </c>
    </row>
    <row r="23" spans="1:4" x14ac:dyDescent="0.2">
      <c r="C23" s="5" t="s">
        <v>46</v>
      </c>
      <c r="D23" t="s">
        <v>47</v>
      </c>
    </row>
    <row r="24" spans="1:4" x14ac:dyDescent="0.2">
      <c r="C24" s="5" t="s">
        <v>48</v>
      </c>
      <c r="D24" t="s">
        <v>49</v>
      </c>
    </row>
    <row r="25" spans="1:4" x14ac:dyDescent="0.2">
      <c r="C25" s="5" t="s">
        <v>50</v>
      </c>
      <c r="D25" t="s">
        <v>32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54</v>
      </c>
    </row>
    <row r="29" spans="1:4" x14ac:dyDescent="0.2">
      <c r="C29" s="5" t="s">
        <v>56</v>
      </c>
      <c r="D29" t="s">
        <v>12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overlook</vt:lpstr>
      <vt:lpstr>psychrometer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2025-04-14T11:34:42Z</dcterms:created>
  <dcterms:modified xsi:type="dcterms:W3CDTF">2026-03-08T16:29:50Z</dcterms:modified>
</cp:coreProperties>
</file>